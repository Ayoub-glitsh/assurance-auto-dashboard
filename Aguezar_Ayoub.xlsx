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amza\Desktop\"/>
    </mc:Choice>
  </mc:AlternateContent>
  <xr:revisionPtr revIDLastSave="0" documentId="13_ncr:1_{B693496A-30F8-42AA-999D-9D8959C7A11F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d" sheetId="2" r:id="rId1"/>
    <sheet name="Frontand" sheetId="3" r:id="rId2"/>
    <sheet name="Assurances_Auto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" l="1"/>
  <c r="U13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U9" i="1"/>
  <c r="U8" i="1"/>
  <c r="U7" i="1"/>
  <c r="U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</calcChain>
</file>

<file path=xl/sharedStrings.xml><?xml version="1.0" encoding="utf-8"?>
<sst xmlns="http://schemas.openxmlformats.org/spreadsheetml/2006/main" count="417" uniqueCount="168">
  <si>
    <t>ID_Client</t>
  </si>
  <si>
    <t>Nom</t>
  </si>
  <si>
    <t>Prénom</t>
  </si>
  <si>
    <t>CIN</t>
  </si>
  <si>
    <t>Ville</t>
  </si>
  <si>
    <t>Type_Vehicule</t>
  </si>
  <si>
    <t>Marque</t>
  </si>
  <si>
    <t>Année_Vehicule</t>
  </si>
  <si>
    <t>Valeur_Vehicule</t>
  </si>
  <si>
    <t>Type_Assurance</t>
  </si>
  <si>
    <t>Date_Souscription</t>
  </si>
  <si>
    <t>Durée</t>
  </si>
  <si>
    <t>Prime_Base</t>
  </si>
  <si>
    <t>Taux_Risque</t>
  </si>
  <si>
    <t>Montant_Risque</t>
  </si>
  <si>
    <t>Prime_Totale</t>
  </si>
  <si>
    <t>Statut_Client</t>
  </si>
  <si>
    <t>El Amrani</t>
  </si>
  <si>
    <t>Youssef</t>
  </si>
  <si>
    <t>AB00001</t>
  </si>
  <si>
    <t>Ouarzazate</t>
  </si>
  <si>
    <t>Moto</t>
  </si>
  <si>
    <t>Renault</t>
  </si>
  <si>
    <t>Tiers+</t>
  </si>
  <si>
    <t>Ait Lahcen</t>
  </si>
  <si>
    <t>Fatima</t>
  </si>
  <si>
    <t>AB00002</t>
  </si>
  <si>
    <t>Camion</t>
  </si>
  <si>
    <t>Toyota</t>
  </si>
  <si>
    <t>Tous Risques</t>
  </si>
  <si>
    <t>Benali</t>
  </si>
  <si>
    <t>Ahmed</t>
  </si>
  <si>
    <t>AB00003</t>
  </si>
  <si>
    <t>Marrakech</t>
  </si>
  <si>
    <t>Voiture</t>
  </si>
  <si>
    <t>Hyundai</t>
  </si>
  <si>
    <t>Tiers</t>
  </si>
  <si>
    <t>El Idrissi</t>
  </si>
  <si>
    <t>Salma</t>
  </si>
  <si>
    <t>AB00004</t>
  </si>
  <si>
    <t>Rabat</t>
  </si>
  <si>
    <t>Ford</t>
  </si>
  <si>
    <t>Chraibi</t>
  </si>
  <si>
    <t>Mohamed</t>
  </si>
  <si>
    <t>AB00005</t>
  </si>
  <si>
    <t>Casablanca</t>
  </si>
  <si>
    <t>Peugeot</t>
  </si>
  <si>
    <t>Tahiri</t>
  </si>
  <si>
    <t>Khadija</t>
  </si>
  <si>
    <t>AB00006</t>
  </si>
  <si>
    <t>Agadir</t>
  </si>
  <si>
    <t>Dacia</t>
  </si>
  <si>
    <t>Bennani</t>
  </si>
  <si>
    <t>Omar</t>
  </si>
  <si>
    <t>AB00007</t>
  </si>
  <si>
    <t>El Fassi</t>
  </si>
  <si>
    <t>Imane</t>
  </si>
  <si>
    <t>AB00008</t>
  </si>
  <si>
    <t>Fes</t>
  </si>
  <si>
    <t>Alaoui</t>
  </si>
  <si>
    <t>Hassan</t>
  </si>
  <si>
    <t>AB00009</t>
  </si>
  <si>
    <t>Zerouali</t>
  </si>
  <si>
    <t>Nadia</t>
  </si>
  <si>
    <t>AB00010</t>
  </si>
  <si>
    <t>Skalli</t>
  </si>
  <si>
    <t>Abdelilah</t>
  </si>
  <si>
    <t>AB00011</t>
  </si>
  <si>
    <t>Raji</t>
  </si>
  <si>
    <t>Siham</t>
  </si>
  <si>
    <t>AB00012</t>
  </si>
  <si>
    <t>Ouahbi</t>
  </si>
  <si>
    <t>Anas</t>
  </si>
  <si>
    <t>AB00013</t>
  </si>
  <si>
    <t>Amine</t>
  </si>
  <si>
    <t>Soukaina</t>
  </si>
  <si>
    <t>AB00014</t>
  </si>
  <si>
    <t>Mouline</t>
  </si>
  <si>
    <t>Rachid</t>
  </si>
  <si>
    <t>AB00015</t>
  </si>
  <si>
    <t>Lahlou</t>
  </si>
  <si>
    <t>Sara</t>
  </si>
  <si>
    <t>AB00016</t>
  </si>
  <si>
    <t>Kabbaj</t>
  </si>
  <si>
    <t>Yassine</t>
  </si>
  <si>
    <t>AB00017</t>
  </si>
  <si>
    <t>Bouzidi</t>
  </si>
  <si>
    <t>Amina</t>
  </si>
  <si>
    <t>AB00018</t>
  </si>
  <si>
    <t>El Mansouri</t>
  </si>
  <si>
    <t>Karim</t>
  </si>
  <si>
    <t>AB00019</t>
  </si>
  <si>
    <t>Haddad</t>
  </si>
  <si>
    <t>Latifa</t>
  </si>
  <si>
    <t>AB00020</t>
  </si>
  <si>
    <t>Berrada</t>
  </si>
  <si>
    <t>Ayoub</t>
  </si>
  <si>
    <t>AB00021</t>
  </si>
  <si>
    <t>Sbaai</t>
  </si>
  <si>
    <t>Hanane</t>
  </si>
  <si>
    <t>AB00022</t>
  </si>
  <si>
    <t>Ghazali</t>
  </si>
  <si>
    <t>Mehdi</t>
  </si>
  <si>
    <t>AB00023</t>
  </si>
  <si>
    <t>Benkirane</t>
  </si>
  <si>
    <t>Samir</t>
  </si>
  <si>
    <t>AB00024</t>
  </si>
  <si>
    <t>El Khatib</t>
  </si>
  <si>
    <t>Meriem</t>
  </si>
  <si>
    <t>AB00025</t>
  </si>
  <si>
    <t>Azizi</t>
  </si>
  <si>
    <t>Hamza</t>
  </si>
  <si>
    <t>AB00026</t>
  </si>
  <si>
    <t>Raiss</t>
  </si>
  <si>
    <t>Nour</t>
  </si>
  <si>
    <t>AB00027</t>
  </si>
  <si>
    <t>Fadili</t>
  </si>
  <si>
    <t>Abdelkader</t>
  </si>
  <si>
    <t>AB00028</t>
  </si>
  <si>
    <t>Kouhen</t>
  </si>
  <si>
    <t>Lina</t>
  </si>
  <si>
    <t>AB00029</t>
  </si>
  <si>
    <t>Smires</t>
  </si>
  <si>
    <t>Younes</t>
  </si>
  <si>
    <t>AB00030</t>
  </si>
  <si>
    <t>Bounou</t>
  </si>
  <si>
    <t>Ikram</t>
  </si>
  <si>
    <t>AB00031</t>
  </si>
  <si>
    <t>El Hachimi</t>
  </si>
  <si>
    <t>Said</t>
  </si>
  <si>
    <t>AB00032</t>
  </si>
  <si>
    <t>Zayani</t>
  </si>
  <si>
    <t>Rania</t>
  </si>
  <si>
    <t>AB00033</t>
  </si>
  <si>
    <t>Belaid</t>
  </si>
  <si>
    <t>Yassir</t>
  </si>
  <si>
    <t>AB00034</t>
  </si>
  <si>
    <t>Ouhmid</t>
  </si>
  <si>
    <t>Malika</t>
  </si>
  <si>
    <t>AB00035</t>
  </si>
  <si>
    <t>Hami</t>
  </si>
  <si>
    <t>Reda</t>
  </si>
  <si>
    <t>AB00036</t>
  </si>
  <si>
    <t>El Mouden</t>
  </si>
  <si>
    <t>Jamal</t>
  </si>
  <si>
    <t>AB00037</t>
  </si>
  <si>
    <t>Karrouchi</t>
  </si>
  <si>
    <t>Ilham</t>
  </si>
  <si>
    <t>AB00038</t>
  </si>
  <si>
    <t>Benchekroun</t>
  </si>
  <si>
    <t>Adil</t>
  </si>
  <si>
    <t>AB00039</t>
  </si>
  <si>
    <t>Ait Brahim</t>
  </si>
  <si>
    <t>Naima</t>
  </si>
  <si>
    <t>AB00040</t>
  </si>
  <si>
    <t>Nombre de contrats Tous Risques</t>
  </si>
  <si>
    <t>Nombre de véhicules Voiture</t>
  </si>
  <si>
    <t>Total des primes pour la ville Ouarzazate</t>
  </si>
  <si>
    <t>Total des primes pour le type Camion</t>
  </si>
  <si>
    <t>Rank</t>
  </si>
  <si>
    <t>Tape un ID_Client existant.</t>
  </si>
  <si>
    <t>Row Labels</t>
  </si>
  <si>
    <t>Grand Total</t>
  </si>
  <si>
    <t>Sum of Prime_Totale</t>
  </si>
  <si>
    <t>Premium</t>
  </si>
  <si>
    <t>Standard</t>
  </si>
  <si>
    <t>Count of ID_Client</t>
  </si>
  <si>
    <t>Average of Prime_Totale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</si>
</sst>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[Kousra-Hamza.xlsx]d!PivotTable1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d!$A$2:$A$5</c:f>
              <c:strCache>
                <c:ptCount val="3"/>
                <c:pt idx="0">
                  <c:v>Tiers</c:v>
                </c:pt>
                <c:pt idx="1">
                  <c:v>Tiers+</c:v>
                </c:pt>
                <c:pt idx="2">
                  <c:v>Tous Risques</c:v>
                </c:pt>
              </c:strCache>
            </c:strRef>
          </c:cat>
          <c:val>
            <c:numRef>
              <c:f>d!$B$2:$B$5</c:f>
              <c:numCache>
                <c:formatCode>General</c:formatCode>
                <c:ptCount val="3"/>
                <c:pt idx="0">
                  <c:v>36666.629999999997</c:v>
                </c:pt>
                <c:pt idx="1">
                  <c:v>39631.549999999996</c:v>
                </c:pt>
                <c:pt idx="2">
                  <c:v>36672.479999999996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9-44A7-B3E4-B5F43363A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6250591"/>
        <c:axId val="2126256831"/>
      </c:barChart>
      <c:catAx>
        <c:axId val="212625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256831"/>
        <c:crosses val="autoZero"/>
        <c:auto val="1"/>
        <c:lblAlgn val="ctr"/>
        <c:lblOffset val="100"/>
        <c:noMultiLvlLbl val="0"/>
      </c:catAx>
      <c:valAx>
        <c:axId val="212625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25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[Kousra-Hamza.xlsx]d!PivotTable2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d!$D$2:$D$8</c:f>
              <c:strCache>
                <c:ptCount val="6"/>
                <c:pt idx="0">
                  <c:v>Agadir</c:v>
                </c:pt>
                <c:pt idx="1">
                  <c:v>Casablanca</c:v>
                </c:pt>
                <c:pt idx="2">
                  <c:v>Fes</c:v>
                </c:pt>
                <c:pt idx="3">
                  <c:v>Marrakech</c:v>
                </c:pt>
                <c:pt idx="4">
                  <c:v>Ouarzazate</c:v>
                </c:pt>
                <c:pt idx="5">
                  <c:v>Rabat</c:v>
                </c:pt>
              </c:strCache>
            </c:strRef>
          </c:cat>
          <c:val>
            <c:numRef>
              <c:f>d!$E$2:$E$8</c:f>
              <c:numCache>
                <c:formatCode>General</c:formatCode>
                <c:ptCount val="6"/>
                <c:pt idx="0">
                  <c:v>8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0-4384-A928-C2C674166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168879"/>
        <c:axId val="43170319"/>
      </c:barChart>
      <c:catAx>
        <c:axId val="43168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70319"/>
        <c:crosses val="autoZero"/>
        <c:auto val="1"/>
        <c:lblAlgn val="ctr"/>
        <c:lblOffset val="100"/>
        <c:noMultiLvlLbl val="0"/>
      </c:catAx>
      <c:valAx>
        <c:axId val="4317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[Kousra-Hamza.xlsx]d!PivotTable3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d!$G$2:$G$5</c:f>
              <c:strCache>
                <c:ptCount val="3"/>
                <c:pt idx="0">
                  <c:v>Camion</c:v>
                </c:pt>
                <c:pt idx="1">
                  <c:v>Moto</c:v>
                </c:pt>
                <c:pt idx="2">
                  <c:v>Voiture</c:v>
                </c:pt>
              </c:strCache>
            </c:strRef>
          </c:cat>
          <c:val>
            <c:numRef>
              <c:f>d!$H$2:$H$5</c:f>
              <c:numCache>
                <c:formatCode>General</c:formatCode>
                <c:ptCount val="3"/>
                <c:pt idx="0">
                  <c:v>2820.9599999999996</c:v>
                </c:pt>
                <c:pt idx="1">
                  <c:v>2830.8249999999998</c:v>
                </c:pt>
                <c:pt idx="2">
                  <c:v>2820.5099999999998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2-44A2-A333-0B45359AB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83759"/>
        <c:axId val="43184239"/>
      </c:barChart>
      <c:catAx>
        <c:axId val="4318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4239"/>
        <c:crosses val="autoZero"/>
        <c:auto val="1"/>
        <c:lblAlgn val="ctr"/>
        <c:lblOffset val="100"/>
        <c:noMultiLvlLbl val="0"/>
      </c:catAx>
      <c:valAx>
        <c:axId val="4318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[Kousra-Hamza.xlsx]d!PivotTable4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d!$B$7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AB-4A92-8FB4-69295B0F06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AB-4A92-8FB4-69295B0F06A4}"/>
              </c:ext>
            </c:extLst>
          </c:dPt>
          <c:cat>
            <c:strRef>
              <c:f>d!$A$8:$A$10</c:f>
              <c:strCache>
                <c:ptCount val="2"/>
                <c:pt idx="0">
                  <c:v>Premium</c:v>
                </c:pt>
                <c:pt idx="1">
                  <c:v>Standard</c:v>
                </c:pt>
              </c:strCache>
            </c:strRef>
          </c:cat>
          <c:val>
            <c:numRef>
              <c:f>d!$B$8:$B$10</c:f>
              <c:numCache>
                <c:formatCode>General</c:formatCode>
                <c:ptCount val="2"/>
                <c:pt idx="0">
                  <c:v>34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AB-4A92-8FB4-69295B0F0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[Kousra-Hamza.xlsx]d!PivotTable5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d!$A$13:$A$41</c:f>
              <c:strCache>
                <c:ptCount val="28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</c:strCache>
            </c:strRef>
          </c:cat>
          <c:val>
            <c:numRef>
              <c:f>d!$B$13:$B$41</c:f>
              <c:numCache>
                <c:formatCode>General</c:formatCode>
                <c:ptCount val="28"/>
                <c:pt idx="0">
                  <c:v>3280.5</c:v>
                </c:pt>
                <c:pt idx="1">
                  <c:v>5021.21</c:v>
                </c:pt>
                <c:pt idx="2">
                  <c:v>5101.08</c:v>
                </c:pt>
                <c:pt idx="3">
                  <c:v>5201.04</c:v>
                </c:pt>
                <c:pt idx="4">
                  <c:v>5381.54</c:v>
                </c:pt>
                <c:pt idx="5">
                  <c:v>5461.35</c:v>
                </c:pt>
                <c:pt idx="6">
                  <c:v>5561.2800000000007</c:v>
                </c:pt>
                <c:pt idx="7">
                  <c:v>5741.87</c:v>
                </c:pt>
                <c:pt idx="8">
                  <c:v>5821.62</c:v>
                </c:pt>
                <c:pt idx="9">
                  <c:v>5921.52</c:v>
                </c:pt>
                <c:pt idx="10">
                  <c:v>6102.2</c:v>
                </c:pt>
                <c:pt idx="11">
                  <c:v>6181.89</c:v>
                </c:pt>
                <c:pt idx="12">
                  <c:v>6281.76</c:v>
                </c:pt>
                <c:pt idx="13">
                  <c:v>2381.15</c:v>
                </c:pt>
                <c:pt idx="14">
                  <c:v>2460.6</c:v>
                </c:pt>
                <c:pt idx="15">
                  <c:v>2460.33</c:v>
                </c:pt>
                <c:pt idx="16">
                  <c:v>2560.6</c:v>
                </c:pt>
                <c:pt idx="17">
                  <c:v>2640.78</c:v>
                </c:pt>
                <c:pt idx="18">
                  <c:v>2640.42</c:v>
                </c:pt>
                <c:pt idx="19">
                  <c:v>2740.75</c:v>
                </c:pt>
                <c:pt idx="20">
                  <c:v>2820.96</c:v>
                </c:pt>
                <c:pt idx="21">
                  <c:v>2820.51</c:v>
                </c:pt>
                <c:pt idx="22">
                  <c:v>2920.9</c:v>
                </c:pt>
                <c:pt idx="23">
                  <c:v>3001.14</c:v>
                </c:pt>
                <c:pt idx="24">
                  <c:v>3000.6</c:v>
                </c:pt>
                <c:pt idx="25">
                  <c:v>3101.05</c:v>
                </c:pt>
                <c:pt idx="26">
                  <c:v>3181.32</c:v>
                </c:pt>
                <c:pt idx="27">
                  <c:v>3180.69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C2-43B3-9C0E-117AA9127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90959"/>
        <c:axId val="43193359"/>
      </c:lineChart>
      <c:catAx>
        <c:axId val="4319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3359"/>
        <c:crosses val="autoZero"/>
        <c:auto val="1"/>
        <c:lblAlgn val="ctr"/>
        <c:lblOffset val="100"/>
        <c:noMultiLvlLbl val="0"/>
      </c:catAx>
      <c:valAx>
        <c:axId val="4319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0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[Kousra-Hamza.xlsx]d!PivotTable7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d!$D$13:$D$93</c:f>
              <c:multiLvlStrCache>
                <c:ptCount val="40"/>
                <c:lvl>
                  <c:pt idx="0">
                    <c:v>Skalli</c:v>
                  </c:pt>
                  <c:pt idx="1">
                    <c:v>Fadili</c:v>
                  </c:pt>
                  <c:pt idx="2">
                    <c:v>Benchekroun</c:v>
                  </c:pt>
                  <c:pt idx="3">
                    <c:v>Benali</c:v>
                  </c:pt>
                  <c:pt idx="4">
                    <c:v>Bouzidi</c:v>
                  </c:pt>
                  <c:pt idx="5">
                    <c:v>Ouahbi</c:v>
                  </c:pt>
                  <c:pt idx="6">
                    <c:v>Berrada</c:v>
                  </c:pt>
                  <c:pt idx="7">
                    <c:v>Ait Lahcen</c:v>
                  </c:pt>
                  <c:pt idx="8">
                    <c:v>Azizi</c:v>
                  </c:pt>
                  <c:pt idx="9">
                    <c:v>Sbaai</c:v>
                  </c:pt>
                  <c:pt idx="10">
                    <c:v>Alaoui</c:v>
                  </c:pt>
                  <c:pt idx="11">
                    <c:v>Bounou</c:v>
                  </c:pt>
                  <c:pt idx="12">
                    <c:v>Karrouchi</c:v>
                  </c:pt>
                  <c:pt idx="13">
                    <c:v>El Fassi</c:v>
                  </c:pt>
                  <c:pt idx="14">
                    <c:v>El Mouden</c:v>
                  </c:pt>
                  <c:pt idx="15">
                    <c:v>El Mansouri</c:v>
                  </c:pt>
                  <c:pt idx="16">
                    <c:v>Tahiri</c:v>
                  </c:pt>
                  <c:pt idx="17">
                    <c:v>Haddad</c:v>
                  </c:pt>
                  <c:pt idx="18">
                    <c:v>Kouhen</c:v>
                  </c:pt>
                  <c:pt idx="19">
                    <c:v>Ouhmid</c:v>
                  </c:pt>
                  <c:pt idx="20">
                    <c:v>Ghazali</c:v>
                  </c:pt>
                  <c:pt idx="21">
                    <c:v>El Khatib</c:v>
                  </c:pt>
                  <c:pt idx="22">
                    <c:v>Chraibi</c:v>
                  </c:pt>
                  <c:pt idx="23">
                    <c:v>Zerouali</c:v>
                  </c:pt>
                  <c:pt idx="24">
                    <c:v>Ait Brahim</c:v>
                  </c:pt>
                  <c:pt idx="25">
                    <c:v>Raiss</c:v>
                  </c:pt>
                  <c:pt idx="26">
                    <c:v>Bennani</c:v>
                  </c:pt>
                  <c:pt idx="27">
                    <c:v>Mouline</c:v>
                  </c:pt>
                  <c:pt idx="28">
                    <c:v>Zayani</c:v>
                  </c:pt>
                  <c:pt idx="29">
                    <c:v>Hami</c:v>
                  </c:pt>
                  <c:pt idx="30">
                    <c:v>El Hachimi</c:v>
                  </c:pt>
                  <c:pt idx="31">
                    <c:v>El Idrissi</c:v>
                  </c:pt>
                  <c:pt idx="32">
                    <c:v>Benkirane</c:v>
                  </c:pt>
                  <c:pt idx="33">
                    <c:v>Lahlou</c:v>
                  </c:pt>
                  <c:pt idx="34">
                    <c:v>Raji</c:v>
                  </c:pt>
                  <c:pt idx="35">
                    <c:v>Amine</c:v>
                  </c:pt>
                  <c:pt idx="36">
                    <c:v>Kabbaj</c:v>
                  </c:pt>
                  <c:pt idx="37">
                    <c:v>Belaid</c:v>
                  </c:pt>
                  <c:pt idx="38">
                    <c:v>Smires</c:v>
                  </c:pt>
                  <c:pt idx="39">
                    <c:v>El Amrani</c:v>
                  </c:pt>
                </c:lvl>
                <c:lvl>
                  <c:pt idx="0">
                    <c:v>Abdelilah</c:v>
                  </c:pt>
                  <c:pt idx="1">
                    <c:v>Abdelkader</c:v>
                  </c:pt>
                  <c:pt idx="2">
                    <c:v>Adil</c:v>
                  </c:pt>
                  <c:pt idx="3">
                    <c:v>Ahmed</c:v>
                  </c:pt>
                  <c:pt idx="4">
                    <c:v>Amina</c:v>
                  </c:pt>
                  <c:pt idx="5">
                    <c:v>Anas</c:v>
                  </c:pt>
                  <c:pt idx="6">
                    <c:v>Ayoub</c:v>
                  </c:pt>
                  <c:pt idx="7">
                    <c:v>Fatima</c:v>
                  </c:pt>
                  <c:pt idx="8">
                    <c:v>Hamza</c:v>
                  </c:pt>
                  <c:pt idx="9">
                    <c:v>Hanane</c:v>
                  </c:pt>
                  <c:pt idx="10">
                    <c:v>Hassan</c:v>
                  </c:pt>
                  <c:pt idx="11">
                    <c:v>Ikram</c:v>
                  </c:pt>
                  <c:pt idx="12">
                    <c:v>Ilham</c:v>
                  </c:pt>
                  <c:pt idx="13">
                    <c:v>Imane</c:v>
                  </c:pt>
                  <c:pt idx="14">
                    <c:v>Jamal</c:v>
                  </c:pt>
                  <c:pt idx="15">
                    <c:v>Karim</c:v>
                  </c:pt>
                  <c:pt idx="16">
                    <c:v>Khadija</c:v>
                  </c:pt>
                  <c:pt idx="17">
                    <c:v>Latifa</c:v>
                  </c:pt>
                  <c:pt idx="18">
                    <c:v>Lina</c:v>
                  </c:pt>
                  <c:pt idx="19">
                    <c:v>Malika</c:v>
                  </c:pt>
                  <c:pt idx="20">
                    <c:v>Mehdi</c:v>
                  </c:pt>
                  <c:pt idx="21">
                    <c:v>Meriem</c:v>
                  </c:pt>
                  <c:pt idx="22">
                    <c:v>Mohamed</c:v>
                  </c:pt>
                  <c:pt idx="23">
                    <c:v>Nadia</c:v>
                  </c:pt>
                  <c:pt idx="24">
                    <c:v>Naima</c:v>
                  </c:pt>
                  <c:pt idx="25">
                    <c:v>Nour</c:v>
                  </c:pt>
                  <c:pt idx="26">
                    <c:v>Omar</c:v>
                  </c:pt>
                  <c:pt idx="27">
                    <c:v>Rachid</c:v>
                  </c:pt>
                  <c:pt idx="28">
                    <c:v>Rania</c:v>
                  </c:pt>
                  <c:pt idx="29">
                    <c:v>Reda</c:v>
                  </c:pt>
                  <c:pt idx="30">
                    <c:v>Said</c:v>
                  </c:pt>
                  <c:pt idx="31">
                    <c:v>Salma</c:v>
                  </c:pt>
                  <c:pt idx="32">
                    <c:v>Samir</c:v>
                  </c:pt>
                  <c:pt idx="33">
                    <c:v>Sara</c:v>
                  </c:pt>
                  <c:pt idx="34">
                    <c:v>Siham</c:v>
                  </c:pt>
                  <c:pt idx="35">
                    <c:v>Soukaina</c:v>
                  </c:pt>
                  <c:pt idx="36">
                    <c:v>Yassine</c:v>
                  </c:pt>
                  <c:pt idx="37">
                    <c:v>Yassir</c:v>
                  </c:pt>
                  <c:pt idx="38">
                    <c:v>Younes</c:v>
                  </c:pt>
                  <c:pt idx="39">
                    <c:v>Youssef</c:v>
                  </c:pt>
                </c:lvl>
              </c:multiLvlStrCache>
            </c:multiLvlStrRef>
          </c:cat>
          <c:val>
            <c:numRef>
              <c:f>d!$E$13:$E$93</c:f>
              <c:numCache>
                <c:formatCode>General</c:formatCode>
                <c:ptCount val="40"/>
                <c:pt idx="0">
                  <c:v>2281.2600000000002</c:v>
                </c:pt>
                <c:pt idx="1">
                  <c:v>3280.5</c:v>
                </c:pt>
                <c:pt idx="2">
                  <c:v>3900.63</c:v>
                </c:pt>
                <c:pt idx="3">
                  <c:v>1740.39</c:v>
                </c:pt>
                <c:pt idx="4">
                  <c:v>2640.42</c:v>
                </c:pt>
                <c:pt idx="5">
                  <c:v>2381.15</c:v>
                </c:pt>
                <c:pt idx="6">
                  <c:v>2820.51</c:v>
                </c:pt>
                <c:pt idx="7">
                  <c:v>1740.72</c:v>
                </c:pt>
                <c:pt idx="8">
                  <c:v>3181.32</c:v>
                </c:pt>
                <c:pt idx="9">
                  <c:v>2920.9</c:v>
                </c:pt>
                <c:pt idx="10">
                  <c:v>2100.5700000000002</c:v>
                </c:pt>
                <c:pt idx="11">
                  <c:v>3460.65</c:v>
                </c:pt>
                <c:pt idx="12">
                  <c:v>3901.2</c:v>
                </c:pt>
                <c:pt idx="13">
                  <c:v>2101.08</c:v>
                </c:pt>
                <c:pt idx="14">
                  <c:v>3820.95</c:v>
                </c:pt>
                <c:pt idx="15">
                  <c:v>2740.75</c:v>
                </c:pt>
                <c:pt idx="16">
                  <c:v>1920.48</c:v>
                </c:pt>
                <c:pt idx="17">
                  <c:v>2820.96</c:v>
                </c:pt>
                <c:pt idx="18">
                  <c:v>3360.66</c:v>
                </c:pt>
                <c:pt idx="19">
                  <c:v>3721.02</c:v>
                </c:pt>
                <c:pt idx="20">
                  <c:v>3001.14</c:v>
                </c:pt>
                <c:pt idx="21">
                  <c:v>3101.05</c:v>
                </c:pt>
                <c:pt idx="22">
                  <c:v>1920.9</c:v>
                </c:pt>
                <c:pt idx="23">
                  <c:v>2201</c:v>
                </c:pt>
                <c:pt idx="24">
                  <c:v>4001.1</c:v>
                </c:pt>
                <c:pt idx="25">
                  <c:v>3180.69</c:v>
                </c:pt>
                <c:pt idx="26">
                  <c:v>2020.85</c:v>
                </c:pt>
                <c:pt idx="27">
                  <c:v>2460.33</c:v>
                </c:pt>
                <c:pt idx="28">
                  <c:v>3540.45</c:v>
                </c:pt>
                <c:pt idx="29">
                  <c:v>3720.54</c:v>
                </c:pt>
                <c:pt idx="30">
                  <c:v>3540.84</c:v>
                </c:pt>
                <c:pt idx="31">
                  <c:v>1840.7</c:v>
                </c:pt>
                <c:pt idx="32">
                  <c:v>3000.6</c:v>
                </c:pt>
                <c:pt idx="33">
                  <c:v>2560.6</c:v>
                </c:pt>
                <c:pt idx="34">
                  <c:v>2280.66</c:v>
                </c:pt>
                <c:pt idx="35">
                  <c:v>2460.6</c:v>
                </c:pt>
                <c:pt idx="36">
                  <c:v>2640.78</c:v>
                </c:pt>
                <c:pt idx="37">
                  <c:v>3640.8</c:v>
                </c:pt>
                <c:pt idx="38">
                  <c:v>3360.36</c:v>
                </c:pt>
                <c:pt idx="39">
                  <c:v>1660.55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1-4FEB-9DAC-73AC43BE1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95279"/>
        <c:axId val="43195759"/>
      </c:barChart>
      <c:catAx>
        <c:axId val="4319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5759"/>
        <c:crosses val="autoZero"/>
        <c:auto val="1"/>
        <c:lblAlgn val="ctr"/>
        <c:lblOffset val="100"/>
        <c:noMultiLvlLbl val="0"/>
      </c:catAx>
      <c:valAx>
        <c:axId val="4319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589</xdr:rowOff>
    </xdr:from>
    <xdr:to>
      <xdr:col>8</xdr:col>
      <xdr:colOff>0</xdr:colOff>
      <xdr:row>16</xdr:row>
      <xdr:rowOff>5953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2F67B-B7F3-4371-95F7-56FD37F2A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11905</xdr:rowOff>
    </xdr:from>
    <xdr:to>
      <xdr:col>7</xdr:col>
      <xdr:colOff>604320</xdr:colOff>
      <xdr:row>31</xdr:row>
      <xdr:rowOff>4787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616ECC-83E6-4D37-8D1E-05BBD5DEA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6308</xdr:colOff>
      <xdr:row>16</xdr:row>
      <xdr:rowOff>12616</xdr:rowOff>
    </xdr:from>
    <xdr:to>
      <xdr:col>25</xdr:col>
      <xdr:colOff>0</xdr:colOff>
      <xdr:row>31</xdr:row>
      <xdr:rowOff>6307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C33FA7-0107-4BF9-92A6-18798A931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4763</xdr:colOff>
      <xdr:row>1</xdr:row>
      <xdr:rowOff>9247</xdr:rowOff>
    </xdr:from>
    <xdr:to>
      <xdr:col>16</xdr:col>
      <xdr:colOff>0</xdr:colOff>
      <xdr:row>16</xdr:row>
      <xdr:rowOff>18676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A0ED20-E448-41D1-B941-0CACB73F01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</xdr:colOff>
      <xdr:row>1</xdr:row>
      <xdr:rowOff>5093</xdr:rowOff>
    </xdr:from>
    <xdr:to>
      <xdr:col>25</xdr:col>
      <xdr:colOff>5093</xdr:colOff>
      <xdr:row>16</xdr:row>
      <xdr:rowOff>8821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947DE4-1337-40E3-8C1C-34607DC0D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6227</xdr:colOff>
      <xdr:row>16</xdr:row>
      <xdr:rowOff>21405</xdr:rowOff>
    </xdr:from>
    <xdr:to>
      <xdr:col>16</xdr:col>
      <xdr:colOff>0</xdr:colOff>
      <xdr:row>31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80B5DD-644B-4877-837F-1C4E10CF6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za kisra" refreshedDate="46021.446715393518" createdVersion="8" refreshedVersion="8" minRefreshableVersion="3" recordCount="40" xr:uid="{93DC8FF8-4E9A-48D5-8B79-E171C8E4C287}">
  <cacheSource type="worksheet">
    <worksheetSource ref="A1:R41" sheet="Assurances_Auto"/>
  </cacheSource>
  <cacheFields count="18">
    <cacheField name="ID_Client" numFmtId="0">
      <sharedItems containsSemiMixedTypes="0" containsString="0" containsNumber="1" containsInteger="1" minValue="1" maxValue="40"/>
    </cacheField>
    <cacheField name="Nom" numFmtId="0">
      <sharedItems count="40">
        <s v="El Amrani"/>
        <s v="Ait Lahcen"/>
        <s v="Benali"/>
        <s v="El Idrissi"/>
        <s v="Chraibi"/>
        <s v="Tahiri"/>
        <s v="Bennani"/>
        <s v="El Fassi"/>
        <s v="Alaoui"/>
        <s v="Zerouali"/>
        <s v="Skalli"/>
        <s v="Raji"/>
        <s v="Ouahbi"/>
        <s v="Amine"/>
        <s v="Mouline"/>
        <s v="Lahlou"/>
        <s v="Kabbaj"/>
        <s v="Bouzidi"/>
        <s v="El Mansouri"/>
        <s v="Haddad"/>
        <s v="Berrada"/>
        <s v="Sbaai"/>
        <s v="Ghazali"/>
        <s v="Benkirane"/>
        <s v="El Khatib"/>
        <s v="Azizi"/>
        <s v="Raiss"/>
        <s v="Fadili"/>
        <s v="Kouhen"/>
        <s v="Smires"/>
        <s v="Bounou"/>
        <s v="El Hachimi"/>
        <s v="Zayani"/>
        <s v="Belaid"/>
        <s v="Ouhmid"/>
        <s v="Hami"/>
        <s v="El Mouden"/>
        <s v="Karrouchi"/>
        <s v="Benchekroun"/>
        <s v="Ait Brahim"/>
      </sharedItems>
    </cacheField>
    <cacheField name="Prénom" numFmtId="0">
      <sharedItems count="40">
        <s v="Youssef"/>
        <s v="Fatima"/>
        <s v="Ahmed"/>
        <s v="Salma"/>
        <s v="Mohamed"/>
        <s v="Khadija"/>
        <s v="Omar"/>
        <s v="Imane"/>
        <s v="Hassan"/>
        <s v="Nadia"/>
        <s v="Abdelilah"/>
        <s v="Siham"/>
        <s v="Anas"/>
        <s v="Soukaina"/>
        <s v="Rachid"/>
        <s v="Sara"/>
        <s v="Yassine"/>
        <s v="Amina"/>
        <s v="Karim"/>
        <s v="Latifa"/>
        <s v="Ayoub"/>
        <s v="Hanane"/>
        <s v="Mehdi"/>
        <s v="Samir"/>
        <s v="Meriem"/>
        <s v="Hamza"/>
        <s v="Nour"/>
        <s v="Abdelkader"/>
        <s v="Lina"/>
        <s v="Younes"/>
        <s v="Ikram"/>
        <s v="Said"/>
        <s v="Rania"/>
        <s v="Yassir"/>
        <s v="Malika"/>
        <s v="Reda"/>
        <s v="Jamal"/>
        <s v="Ilham"/>
        <s v="Adil"/>
        <s v="Naima"/>
      </sharedItems>
    </cacheField>
    <cacheField name="CIN" numFmtId="0">
      <sharedItems/>
    </cacheField>
    <cacheField name="Ville" numFmtId="0">
      <sharedItems count="6">
        <s v="Ouarzazate"/>
        <s v="Marrakech"/>
        <s v="Rabat"/>
        <s v="Casablanca"/>
        <s v="Agadir"/>
        <s v="Fes"/>
      </sharedItems>
    </cacheField>
    <cacheField name="Type_Vehicule" numFmtId="0">
      <sharedItems count="3">
        <s v="Moto"/>
        <s v="Camion"/>
        <s v="Voiture"/>
      </sharedItems>
    </cacheField>
    <cacheField name="Marque" numFmtId="0">
      <sharedItems/>
    </cacheField>
    <cacheField name="Année_Vehicule" numFmtId="0">
      <sharedItems containsSemiMixedTypes="0" containsString="0" containsNumber="1" containsInteger="1" minValue="2010" maxValue="2023"/>
    </cacheField>
    <cacheField name="Valeur_Vehicule" numFmtId="0">
      <sharedItems containsSemiMixedTypes="0" containsString="0" containsNumber="1" containsInteger="1" minValue="93000" maxValue="210000"/>
    </cacheField>
    <cacheField name="Type_Assurance" numFmtId="0">
      <sharedItems count="3">
        <s v="Tiers+"/>
        <s v="Tous Risques"/>
        <s v="Tiers"/>
      </sharedItems>
    </cacheField>
    <cacheField name="Date_Souscription" numFmtId="164">
      <sharedItems containsSemiMixedTypes="0" containsNonDate="0" containsDate="1" containsString="0" minDate="2025-01-01T00:00:00" maxDate="2025-01-29T00:00:00" count="28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01T00:00:00"/>
      </sharedItems>
    </cacheField>
    <cacheField name="Durée" numFmtId="0">
      <sharedItems containsSemiMixedTypes="0" containsString="0" containsNumber="1" containsInteger="1" minValue="12" maxValue="12"/>
    </cacheField>
    <cacheField name="Prime_Base" numFmtId="0">
      <sharedItems containsSemiMixedTypes="0" containsString="0" containsNumber="1" containsInteger="1" minValue="1560" maxValue="3900"/>
    </cacheField>
    <cacheField name="Taux_Risque" numFmtId="0">
      <sharedItems containsSemiMixedTypes="0" containsString="0" containsNumber="1" minValue="0.03" maxValue="0.06"/>
    </cacheField>
    <cacheField name="Montant_Risque" numFmtId="0">
      <sharedItems containsSemiMixedTypes="0" containsString="0" containsNumber="1" minValue="60.33" maxValue="121.32"/>
    </cacheField>
    <cacheField name="Prime_Totale" numFmtId="0">
      <sharedItems containsSemiMixedTypes="0" containsString="0" containsNumber="1" minValue="1660.55" maxValue="4001.1"/>
    </cacheField>
    <cacheField name="Statut_Client" numFmtId="0">
      <sharedItems count="2">
        <s v="Standard"/>
        <s v="Premium"/>
      </sharedItems>
    </cacheField>
    <cacheField name="Rank" numFmtId="0">
      <sharedItems containsSemiMixedTypes="0" containsString="0" containsNumber="1" containsInteger="1" minValue="1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x v="0"/>
    <x v="0"/>
    <s v="AB00001"/>
    <x v="0"/>
    <x v="0"/>
    <s v="Renault"/>
    <n v="2011"/>
    <n v="93000"/>
    <x v="0"/>
    <x v="0"/>
    <n v="12"/>
    <n v="1560"/>
    <n v="0.05"/>
    <n v="100.55000000000001"/>
    <n v="1660.55"/>
    <x v="0"/>
    <n v="40"/>
  </r>
  <r>
    <n v="2"/>
    <x v="1"/>
    <x v="1"/>
    <s v="AB00002"/>
    <x v="0"/>
    <x v="1"/>
    <s v="Toyota"/>
    <n v="2012"/>
    <n v="96000"/>
    <x v="1"/>
    <x v="1"/>
    <n v="12"/>
    <n v="1620"/>
    <n v="0.06"/>
    <n v="120.72"/>
    <n v="1740.72"/>
    <x v="0"/>
    <n v="38"/>
  </r>
  <r>
    <n v="3"/>
    <x v="2"/>
    <x v="2"/>
    <s v="AB00003"/>
    <x v="1"/>
    <x v="2"/>
    <s v="Hyundai"/>
    <n v="2013"/>
    <n v="99000"/>
    <x v="2"/>
    <x v="2"/>
    <n v="12"/>
    <n v="1680"/>
    <n v="0.03"/>
    <n v="60.39"/>
    <n v="1740.39"/>
    <x v="0"/>
    <n v="39"/>
  </r>
  <r>
    <n v="4"/>
    <x v="3"/>
    <x v="3"/>
    <s v="AB00004"/>
    <x v="2"/>
    <x v="0"/>
    <s v="Ford"/>
    <n v="2014"/>
    <n v="102000"/>
    <x v="0"/>
    <x v="3"/>
    <n v="12"/>
    <n v="1740"/>
    <n v="0.05"/>
    <n v="100.7"/>
    <n v="1840.7"/>
    <x v="0"/>
    <n v="37"/>
  </r>
  <r>
    <n v="5"/>
    <x v="4"/>
    <x v="4"/>
    <s v="AB00005"/>
    <x v="3"/>
    <x v="1"/>
    <s v="Peugeot"/>
    <n v="2015"/>
    <n v="105000"/>
    <x v="1"/>
    <x v="4"/>
    <n v="12"/>
    <n v="1800"/>
    <n v="0.06"/>
    <n v="120.89999999999999"/>
    <n v="1920.9"/>
    <x v="0"/>
    <n v="35"/>
  </r>
  <r>
    <n v="6"/>
    <x v="5"/>
    <x v="5"/>
    <s v="AB00006"/>
    <x v="4"/>
    <x v="2"/>
    <s v="Dacia"/>
    <n v="2016"/>
    <n v="108000"/>
    <x v="2"/>
    <x v="5"/>
    <n v="12"/>
    <n v="1860"/>
    <n v="0.03"/>
    <n v="60.48"/>
    <n v="1920.48"/>
    <x v="0"/>
    <n v="36"/>
  </r>
  <r>
    <n v="7"/>
    <x v="6"/>
    <x v="6"/>
    <s v="AB00007"/>
    <x v="1"/>
    <x v="0"/>
    <s v="Renault"/>
    <n v="2017"/>
    <n v="111000"/>
    <x v="0"/>
    <x v="6"/>
    <n v="12"/>
    <n v="1920"/>
    <n v="0.05"/>
    <n v="100.85000000000001"/>
    <n v="2020.85"/>
    <x v="1"/>
    <n v="34"/>
  </r>
  <r>
    <n v="8"/>
    <x v="7"/>
    <x v="7"/>
    <s v="AB00008"/>
    <x v="5"/>
    <x v="1"/>
    <s v="Toyota"/>
    <n v="2018"/>
    <n v="114000"/>
    <x v="1"/>
    <x v="7"/>
    <n v="12"/>
    <n v="1980"/>
    <n v="0.06"/>
    <n v="121.08"/>
    <n v="2101.08"/>
    <x v="1"/>
    <n v="32"/>
  </r>
  <r>
    <n v="9"/>
    <x v="8"/>
    <x v="8"/>
    <s v="AB00009"/>
    <x v="2"/>
    <x v="2"/>
    <s v="Hyundai"/>
    <n v="2019"/>
    <n v="117000"/>
    <x v="2"/>
    <x v="8"/>
    <n v="12"/>
    <n v="2040"/>
    <n v="0.03"/>
    <n v="60.57"/>
    <n v="2100.5700000000002"/>
    <x v="1"/>
    <n v="33"/>
  </r>
  <r>
    <n v="10"/>
    <x v="9"/>
    <x v="9"/>
    <s v="AB00010"/>
    <x v="4"/>
    <x v="0"/>
    <s v="Ford"/>
    <n v="2020"/>
    <n v="120000"/>
    <x v="0"/>
    <x v="9"/>
    <n v="12"/>
    <n v="2100"/>
    <n v="0.05"/>
    <n v="101"/>
    <n v="2201"/>
    <x v="1"/>
    <n v="31"/>
  </r>
  <r>
    <n v="11"/>
    <x v="10"/>
    <x v="10"/>
    <s v="AB00011"/>
    <x v="3"/>
    <x v="1"/>
    <s v="Peugeot"/>
    <n v="2021"/>
    <n v="123000"/>
    <x v="1"/>
    <x v="10"/>
    <n v="12"/>
    <n v="2160"/>
    <n v="0.06"/>
    <n v="121.25999999999999"/>
    <n v="2281.2600000000002"/>
    <x v="1"/>
    <n v="29"/>
  </r>
  <r>
    <n v="12"/>
    <x v="11"/>
    <x v="11"/>
    <s v="AB00012"/>
    <x v="1"/>
    <x v="2"/>
    <s v="Dacia"/>
    <n v="2022"/>
    <n v="126000"/>
    <x v="2"/>
    <x v="11"/>
    <n v="12"/>
    <n v="2220"/>
    <n v="0.03"/>
    <n v="60.66"/>
    <n v="2280.66"/>
    <x v="1"/>
    <n v="30"/>
  </r>
  <r>
    <n v="13"/>
    <x v="12"/>
    <x v="12"/>
    <s v="AB00013"/>
    <x v="0"/>
    <x v="0"/>
    <s v="Renault"/>
    <n v="2023"/>
    <n v="129000"/>
    <x v="0"/>
    <x v="12"/>
    <n v="12"/>
    <n v="2280"/>
    <n v="0.05"/>
    <n v="101.15"/>
    <n v="2381.15"/>
    <x v="1"/>
    <n v="28"/>
  </r>
  <r>
    <n v="14"/>
    <x v="13"/>
    <x v="13"/>
    <s v="AB00014"/>
    <x v="4"/>
    <x v="1"/>
    <s v="Toyota"/>
    <n v="2010"/>
    <n v="132000"/>
    <x v="1"/>
    <x v="13"/>
    <n v="12"/>
    <n v="2340"/>
    <n v="0.06"/>
    <n v="120.6"/>
    <n v="2460.6"/>
    <x v="1"/>
    <n v="26"/>
  </r>
  <r>
    <n v="15"/>
    <x v="14"/>
    <x v="14"/>
    <s v="AB00015"/>
    <x v="3"/>
    <x v="2"/>
    <s v="Hyundai"/>
    <n v="2011"/>
    <n v="135000"/>
    <x v="2"/>
    <x v="14"/>
    <n v="12"/>
    <n v="2400"/>
    <n v="0.03"/>
    <n v="60.33"/>
    <n v="2460.33"/>
    <x v="1"/>
    <n v="27"/>
  </r>
  <r>
    <n v="16"/>
    <x v="15"/>
    <x v="15"/>
    <s v="AB00016"/>
    <x v="2"/>
    <x v="0"/>
    <s v="Ford"/>
    <n v="2012"/>
    <n v="138000"/>
    <x v="0"/>
    <x v="15"/>
    <n v="12"/>
    <n v="2460"/>
    <n v="0.05"/>
    <n v="100.60000000000001"/>
    <n v="2560.6"/>
    <x v="1"/>
    <n v="25"/>
  </r>
  <r>
    <n v="17"/>
    <x v="16"/>
    <x v="16"/>
    <s v="AB00017"/>
    <x v="1"/>
    <x v="1"/>
    <s v="Peugeot"/>
    <n v="2013"/>
    <n v="141000"/>
    <x v="1"/>
    <x v="16"/>
    <n v="12"/>
    <n v="2520"/>
    <n v="0.06"/>
    <n v="120.78"/>
    <n v="2640.78"/>
    <x v="1"/>
    <n v="23"/>
  </r>
  <r>
    <n v="18"/>
    <x v="17"/>
    <x v="17"/>
    <s v="AB00018"/>
    <x v="0"/>
    <x v="2"/>
    <s v="Dacia"/>
    <n v="2014"/>
    <n v="144000"/>
    <x v="2"/>
    <x v="17"/>
    <n v="12"/>
    <n v="2580"/>
    <n v="0.03"/>
    <n v="60.419999999999995"/>
    <n v="2640.42"/>
    <x v="1"/>
    <n v="24"/>
  </r>
  <r>
    <n v="19"/>
    <x v="18"/>
    <x v="18"/>
    <s v="AB00019"/>
    <x v="4"/>
    <x v="0"/>
    <s v="Renault"/>
    <n v="2015"/>
    <n v="147000"/>
    <x v="0"/>
    <x v="18"/>
    <n v="12"/>
    <n v="2640"/>
    <n v="0.05"/>
    <n v="100.75"/>
    <n v="2740.75"/>
    <x v="1"/>
    <n v="22"/>
  </r>
  <r>
    <n v="20"/>
    <x v="19"/>
    <x v="19"/>
    <s v="AB00020"/>
    <x v="3"/>
    <x v="1"/>
    <s v="Toyota"/>
    <n v="2016"/>
    <n v="150000"/>
    <x v="1"/>
    <x v="19"/>
    <n v="12"/>
    <n v="2700"/>
    <n v="0.06"/>
    <n v="120.96"/>
    <n v="2820.96"/>
    <x v="1"/>
    <n v="20"/>
  </r>
  <r>
    <n v="21"/>
    <x v="20"/>
    <x v="20"/>
    <s v="AB00021"/>
    <x v="2"/>
    <x v="2"/>
    <s v="Hyundai"/>
    <n v="2017"/>
    <n v="153000"/>
    <x v="2"/>
    <x v="20"/>
    <n v="12"/>
    <n v="2760"/>
    <n v="0.03"/>
    <n v="60.51"/>
    <n v="2820.51"/>
    <x v="1"/>
    <n v="21"/>
  </r>
  <r>
    <n v="22"/>
    <x v="21"/>
    <x v="21"/>
    <s v="AB00022"/>
    <x v="1"/>
    <x v="0"/>
    <s v="Ford"/>
    <n v="2018"/>
    <n v="156000"/>
    <x v="0"/>
    <x v="21"/>
    <n v="12"/>
    <n v="2820"/>
    <n v="0.05"/>
    <n v="100.9"/>
    <n v="2920.9"/>
    <x v="1"/>
    <n v="19"/>
  </r>
  <r>
    <n v="23"/>
    <x v="22"/>
    <x v="22"/>
    <s v="AB00023"/>
    <x v="4"/>
    <x v="1"/>
    <s v="Peugeot"/>
    <n v="2019"/>
    <n v="159000"/>
    <x v="1"/>
    <x v="22"/>
    <n v="12"/>
    <n v="2880"/>
    <n v="0.06"/>
    <n v="121.14"/>
    <n v="3001.14"/>
    <x v="1"/>
    <n v="17"/>
  </r>
  <r>
    <n v="24"/>
    <x v="23"/>
    <x v="23"/>
    <s v="AB00024"/>
    <x v="2"/>
    <x v="2"/>
    <s v="Dacia"/>
    <n v="2020"/>
    <n v="162000"/>
    <x v="2"/>
    <x v="23"/>
    <n v="12"/>
    <n v="2940"/>
    <n v="0.03"/>
    <n v="60.599999999999994"/>
    <n v="3000.6"/>
    <x v="1"/>
    <n v="18"/>
  </r>
  <r>
    <n v="25"/>
    <x v="24"/>
    <x v="24"/>
    <s v="AB00025"/>
    <x v="3"/>
    <x v="0"/>
    <s v="Renault"/>
    <n v="2021"/>
    <n v="165000"/>
    <x v="0"/>
    <x v="24"/>
    <n v="12"/>
    <n v="3000"/>
    <n v="0.05"/>
    <n v="101.05000000000001"/>
    <n v="3101.05"/>
    <x v="1"/>
    <n v="16"/>
  </r>
  <r>
    <n v="26"/>
    <x v="25"/>
    <x v="25"/>
    <s v="AB00026"/>
    <x v="0"/>
    <x v="1"/>
    <s v="Toyota"/>
    <n v="2022"/>
    <n v="168000"/>
    <x v="1"/>
    <x v="25"/>
    <n v="12"/>
    <n v="3060"/>
    <n v="0.06"/>
    <n v="121.32"/>
    <n v="3181.32"/>
    <x v="1"/>
    <n v="14"/>
  </r>
  <r>
    <n v="27"/>
    <x v="26"/>
    <x v="26"/>
    <s v="AB00027"/>
    <x v="4"/>
    <x v="2"/>
    <s v="Hyundai"/>
    <n v="2023"/>
    <n v="171000"/>
    <x v="2"/>
    <x v="26"/>
    <n v="12"/>
    <n v="3120"/>
    <n v="0.03"/>
    <n v="60.69"/>
    <n v="3180.69"/>
    <x v="1"/>
    <n v="15"/>
  </r>
  <r>
    <n v="28"/>
    <x v="27"/>
    <x v="27"/>
    <s v="AB00028"/>
    <x v="1"/>
    <x v="0"/>
    <s v="Ford"/>
    <n v="2010"/>
    <n v="174000"/>
    <x v="0"/>
    <x v="27"/>
    <n v="12"/>
    <n v="3180"/>
    <n v="0.05"/>
    <n v="100.5"/>
    <n v="3280.5"/>
    <x v="1"/>
    <n v="13"/>
  </r>
  <r>
    <n v="29"/>
    <x v="28"/>
    <x v="28"/>
    <s v="AB00029"/>
    <x v="2"/>
    <x v="1"/>
    <s v="Peugeot"/>
    <n v="2011"/>
    <n v="177000"/>
    <x v="1"/>
    <x v="0"/>
    <n v="12"/>
    <n v="3240"/>
    <n v="0.06"/>
    <n v="120.66"/>
    <n v="3360.66"/>
    <x v="1"/>
    <n v="11"/>
  </r>
  <r>
    <n v="30"/>
    <x v="29"/>
    <x v="29"/>
    <s v="AB00030"/>
    <x v="3"/>
    <x v="2"/>
    <s v="Dacia"/>
    <n v="2012"/>
    <n v="180000"/>
    <x v="2"/>
    <x v="1"/>
    <n v="12"/>
    <n v="3300"/>
    <n v="0.03"/>
    <n v="60.36"/>
    <n v="3360.36"/>
    <x v="1"/>
    <n v="12"/>
  </r>
  <r>
    <n v="31"/>
    <x v="30"/>
    <x v="30"/>
    <s v="AB00031"/>
    <x v="4"/>
    <x v="0"/>
    <s v="Renault"/>
    <n v="2013"/>
    <n v="183000"/>
    <x v="0"/>
    <x v="2"/>
    <n v="12"/>
    <n v="3360"/>
    <n v="0.05"/>
    <n v="100.65"/>
    <n v="3460.65"/>
    <x v="1"/>
    <n v="10"/>
  </r>
  <r>
    <n v="32"/>
    <x v="31"/>
    <x v="31"/>
    <s v="AB00032"/>
    <x v="1"/>
    <x v="1"/>
    <s v="Toyota"/>
    <n v="2014"/>
    <n v="186000"/>
    <x v="1"/>
    <x v="3"/>
    <n v="12"/>
    <n v="3420"/>
    <n v="0.06"/>
    <n v="120.83999999999999"/>
    <n v="3540.84"/>
    <x v="1"/>
    <n v="8"/>
  </r>
  <r>
    <n v="33"/>
    <x v="32"/>
    <x v="32"/>
    <s v="AB00033"/>
    <x v="2"/>
    <x v="2"/>
    <s v="Hyundai"/>
    <n v="2015"/>
    <n v="189000"/>
    <x v="2"/>
    <x v="4"/>
    <n v="12"/>
    <n v="3480"/>
    <n v="0.03"/>
    <n v="60.449999999999996"/>
    <n v="3540.45"/>
    <x v="1"/>
    <n v="9"/>
  </r>
  <r>
    <n v="34"/>
    <x v="33"/>
    <x v="33"/>
    <s v="AB00034"/>
    <x v="3"/>
    <x v="0"/>
    <s v="Ford"/>
    <n v="2016"/>
    <n v="192000"/>
    <x v="0"/>
    <x v="5"/>
    <n v="12"/>
    <n v="3540"/>
    <n v="0.05"/>
    <n v="100.80000000000001"/>
    <n v="3640.8"/>
    <x v="1"/>
    <n v="7"/>
  </r>
  <r>
    <n v="35"/>
    <x v="34"/>
    <x v="34"/>
    <s v="AB00035"/>
    <x v="0"/>
    <x v="1"/>
    <s v="Peugeot"/>
    <n v="2017"/>
    <n v="195000"/>
    <x v="1"/>
    <x v="6"/>
    <n v="12"/>
    <n v="3600"/>
    <n v="0.06"/>
    <n v="121.02"/>
    <n v="3721.02"/>
    <x v="1"/>
    <n v="5"/>
  </r>
  <r>
    <n v="36"/>
    <x v="35"/>
    <x v="35"/>
    <s v="AB00036"/>
    <x v="4"/>
    <x v="2"/>
    <s v="Dacia"/>
    <n v="2018"/>
    <n v="198000"/>
    <x v="2"/>
    <x v="7"/>
    <n v="12"/>
    <n v="3660"/>
    <n v="0.03"/>
    <n v="60.54"/>
    <n v="3720.54"/>
    <x v="1"/>
    <n v="6"/>
  </r>
  <r>
    <n v="37"/>
    <x v="36"/>
    <x v="36"/>
    <s v="AB00037"/>
    <x v="1"/>
    <x v="0"/>
    <s v="Renault"/>
    <n v="2019"/>
    <n v="201000"/>
    <x v="0"/>
    <x v="8"/>
    <n v="12"/>
    <n v="3720"/>
    <n v="0.05"/>
    <n v="100.95"/>
    <n v="3820.95"/>
    <x v="1"/>
    <n v="4"/>
  </r>
  <r>
    <n v="38"/>
    <x v="37"/>
    <x v="37"/>
    <s v="AB00038"/>
    <x v="2"/>
    <x v="1"/>
    <s v="Toyota"/>
    <n v="2020"/>
    <n v="204000"/>
    <x v="1"/>
    <x v="9"/>
    <n v="12"/>
    <n v="3780"/>
    <n v="0.06"/>
    <n v="121.19999999999999"/>
    <n v="3901.2"/>
    <x v="1"/>
    <n v="2"/>
  </r>
  <r>
    <n v="39"/>
    <x v="38"/>
    <x v="38"/>
    <s v="AB00039"/>
    <x v="3"/>
    <x v="2"/>
    <s v="Hyundai"/>
    <n v="2021"/>
    <n v="207000"/>
    <x v="2"/>
    <x v="10"/>
    <n v="12"/>
    <n v="3840"/>
    <n v="0.03"/>
    <n v="60.629999999999995"/>
    <n v="3900.63"/>
    <x v="1"/>
    <n v="3"/>
  </r>
  <r>
    <n v="40"/>
    <x v="39"/>
    <x v="39"/>
    <s v="AB00040"/>
    <x v="0"/>
    <x v="0"/>
    <s v="Ford"/>
    <n v="2022"/>
    <n v="210000"/>
    <x v="0"/>
    <x v="11"/>
    <n v="12"/>
    <n v="3900"/>
    <n v="0.05"/>
    <n v="101.10000000000001"/>
    <n v="4001.1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6FAC4-C15C-41EE-B1AC-44E2AB1EA3D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7:B10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ID_Client" fld="0" subtotal="count" baseField="16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E6A88-2E74-45B4-9741-E5E4ED66C5B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1:H5" firstHeaderRow="1" firstDataRow="1" firstDataCol="1"/>
  <pivotFields count="18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ime_Totale" fld="15" subtotal="average" baseField="5" baseItem="1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737FF-0BB4-4ED4-AB72-D3E74638DE4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1:E8" firstHeaderRow="1" firstDataRow="1" firstDataCol="1"/>
  <pivotFields count="18">
    <pivotField dataField="1" showAll="0"/>
    <pivotField showAll="0"/>
    <pivotField showAll="0"/>
    <pivotField showAll="0"/>
    <pivotField axis="axisRow" showAll="0">
      <items count="7">
        <item x="4"/>
        <item x="3"/>
        <item x="5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D_Client" fld="0" subtotal="count" baseField="4" baseItem="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2B013-743B-4219-82D9-582C8772C8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5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numFmtId="164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ime_Totale" fld="15" baseField="9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95B02-C744-414D-A93B-E96977212CD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2:E93" firstHeaderRow="1" firstDataRow="1" firstDataCol="1"/>
  <pivotFields count="18">
    <pivotField showAll="0"/>
    <pivotField axis="axisRow" showAll="0">
      <items count="41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t="default"/>
      </items>
    </pivotField>
    <pivotField axis="axisRow" showAll="0">
      <items count="41">
        <item x="10"/>
        <item x="27"/>
        <item x="38"/>
        <item x="2"/>
        <item x="17"/>
        <item x="12"/>
        <item x="20"/>
        <item x="1"/>
        <item x="25"/>
        <item x="21"/>
        <item x="8"/>
        <item x="30"/>
        <item x="37"/>
        <item x="7"/>
        <item x="36"/>
        <item x="18"/>
        <item x="5"/>
        <item x="19"/>
        <item x="28"/>
        <item x="34"/>
        <item x="22"/>
        <item x="24"/>
        <item x="4"/>
        <item x="9"/>
        <item x="39"/>
        <item x="26"/>
        <item x="6"/>
        <item x="14"/>
        <item x="32"/>
        <item x="35"/>
        <item x="31"/>
        <item x="3"/>
        <item x="23"/>
        <item x="15"/>
        <item x="11"/>
        <item x="13"/>
        <item x="16"/>
        <item x="33"/>
        <item x="2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2"/>
    <field x="1"/>
  </rowFields>
  <rowItems count="81">
    <i>
      <x/>
    </i>
    <i r="1">
      <x v="35"/>
    </i>
    <i>
      <x v="1"/>
    </i>
    <i r="1">
      <x v="21"/>
    </i>
    <i>
      <x v="2"/>
    </i>
    <i r="1">
      <x v="7"/>
    </i>
    <i>
      <x v="3"/>
    </i>
    <i r="1">
      <x v="6"/>
    </i>
    <i>
      <x v="4"/>
    </i>
    <i r="1">
      <x v="12"/>
    </i>
    <i>
      <x v="5"/>
    </i>
    <i r="1">
      <x v="30"/>
    </i>
    <i>
      <x v="6"/>
    </i>
    <i r="1">
      <x v="10"/>
    </i>
    <i>
      <x v="7"/>
    </i>
    <i r="1">
      <x v="1"/>
    </i>
    <i>
      <x v="8"/>
    </i>
    <i r="1">
      <x v="4"/>
    </i>
    <i>
      <x v="9"/>
    </i>
    <i r="1">
      <x v="34"/>
    </i>
    <i>
      <x v="10"/>
    </i>
    <i r="1">
      <x v="2"/>
    </i>
    <i>
      <x v="11"/>
    </i>
    <i r="1">
      <x v="11"/>
    </i>
    <i>
      <x v="12"/>
    </i>
    <i r="1">
      <x v="26"/>
    </i>
    <i>
      <x v="13"/>
    </i>
    <i r="1">
      <x v="15"/>
    </i>
    <i>
      <x v="14"/>
    </i>
    <i r="1">
      <x v="20"/>
    </i>
    <i>
      <x v="15"/>
    </i>
    <i r="1">
      <x v="19"/>
    </i>
    <i>
      <x v="16"/>
    </i>
    <i r="1">
      <x v="37"/>
    </i>
    <i>
      <x v="17"/>
    </i>
    <i r="1">
      <x v="23"/>
    </i>
    <i>
      <x v="18"/>
    </i>
    <i r="1">
      <x v="27"/>
    </i>
    <i>
      <x v="19"/>
    </i>
    <i r="1">
      <x v="31"/>
    </i>
    <i>
      <x v="20"/>
    </i>
    <i r="1">
      <x v="22"/>
    </i>
    <i>
      <x v="21"/>
    </i>
    <i r="1">
      <x v="18"/>
    </i>
    <i>
      <x v="22"/>
    </i>
    <i r="1">
      <x v="13"/>
    </i>
    <i>
      <x v="23"/>
    </i>
    <i r="1">
      <x v="39"/>
    </i>
    <i>
      <x v="24"/>
    </i>
    <i r="1">
      <x/>
    </i>
    <i>
      <x v="25"/>
    </i>
    <i r="1">
      <x v="32"/>
    </i>
    <i>
      <x v="26"/>
    </i>
    <i r="1">
      <x v="9"/>
    </i>
    <i>
      <x v="27"/>
    </i>
    <i r="1">
      <x v="29"/>
    </i>
    <i>
      <x v="28"/>
    </i>
    <i r="1">
      <x v="38"/>
    </i>
    <i>
      <x v="29"/>
    </i>
    <i r="1">
      <x v="24"/>
    </i>
    <i>
      <x v="30"/>
    </i>
    <i r="1">
      <x v="16"/>
    </i>
    <i>
      <x v="31"/>
    </i>
    <i r="1">
      <x v="17"/>
    </i>
    <i>
      <x v="32"/>
    </i>
    <i r="1">
      <x v="8"/>
    </i>
    <i>
      <x v="33"/>
    </i>
    <i r="1">
      <x v="28"/>
    </i>
    <i>
      <x v="34"/>
    </i>
    <i r="1">
      <x v="33"/>
    </i>
    <i>
      <x v="35"/>
    </i>
    <i r="1">
      <x v="3"/>
    </i>
    <i>
      <x v="36"/>
    </i>
    <i r="1">
      <x v="25"/>
    </i>
    <i>
      <x v="37"/>
    </i>
    <i r="1">
      <x v="5"/>
    </i>
    <i>
      <x v="38"/>
    </i>
    <i r="1">
      <x v="36"/>
    </i>
    <i>
      <x v="39"/>
    </i>
    <i r="1">
      <x v="14"/>
    </i>
    <i t="grand">
      <x/>
    </i>
  </rowItems>
  <colItems count="1">
    <i/>
  </colItems>
  <dataFields count="1">
    <dataField name="Sum of Prime_Totale" fld="15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6B5CF-D2FE-4BFE-82C1-405B61EB094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2:B4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64" showAll="0">
      <items count="29"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Prime_Totale" fld="1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C09C-757B-4D53-91E6-9889FCD412FF}">
  <dimension ref="A1:H93"/>
  <sheetViews>
    <sheetView topLeftCell="A29" zoomScale="97" workbookViewId="0">
      <selection activeCell="D12" sqref="D12:E93"/>
    </sheetView>
  </sheetViews>
  <sheetFormatPr defaultRowHeight="15" x14ac:dyDescent="0.25"/>
  <cols>
    <col min="1" max="1" width="13.140625" bestFit="1" customWidth="1"/>
    <col min="2" max="2" width="19.7109375" bestFit="1" customWidth="1"/>
    <col min="4" max="4" width="16.5703125" bestFit="1" customWidth="1"/>
    <col min="5" max="5" width="19.7109375" bestFit="1" customWidth="1"/>
    <col min="7" max="7" width="13.140625" bestFit="1" customWidth="1"/>
    <col min="8" max="8" width="23.28515625" bestFit="1" customWidth="1"/>
  </cols>
  <sheetData>
    <row r="1" spans="1:8" x14ac:dyDescent="0.25">
      <c r="A1" s="14" t="s">
        <v>161</v>
      </c>
      <c r="B1" t="s">
        <v>163</v>
      </c>
      <c r="D1" s="14" t="s">
        <v>161</v>
      </c>
      <c r="E1" t="s">
        <v>166</v>
      </c>
      <c r="G1" s="14" t="s">
        <v>161</v>
      </c>
      <c r="H1" t="s">
        <v>167</v>
      </c>
    </row>
    <row r="2" spans="1:8" x14ac:dyDescent="0.25">
      <c r="A2" s="4" t="s">
        <v>36</v>
      </c>
      <c r="B2" s="15">
        <v>36666.629999999997</v>
      </c>
      <c r="D2" s="4" t="s">
        <v>50</v>
      </c>
      <c r="E2" s="15">
        <v>8</v>
      </c>
      <c r="G2" s="4" t="s">
        <v>27</v>
      </c>
      <c r="H2" s="15">
        <v>2820.9599999999996</v>
      </c>
    </row>
    <row r="3" spans="1:8" x14ac:dyDescent="0.25">
      <c r="A3" s="4" t="s">
        <v>23</v>
      </c>
      <c r="B3" s="15">
        <v>39631.549999999996</v>
      </c>
      <c r="D3" s="4" t="s">
        <v>45</v>
      </c>
      <c r="E3" s="15">
        <v>8</v>
      </c>
      <c r="G3" s="4" t="s">
        <v>21</v>
      </c>
      <c r="H3" s="15">
        <v>2830.8249999999998</v>
      </c>
    </row>
    <row r="4" spans="1:8" x14ac:dyDescent="0.25">
      <c r="A4" s="4" t="s">
        <v>29</v>
      </c>
      <c r="B4" s="15">
        <v>36672.479999999996</v>
      </c>
      <c r="D4" s="4" t="s">
        <v>58</v>
      </c>
      <c r="E4" s="15">
        <v>1</v>
      </c>
      <c r="G4" s="4" t="s">
        <v>34</v>
      </c>
      <c r="H4" s="15">
        <v>2820.5099999999998</v>
      </c>
    </row>
    <row r="5" spans="1:8" x14ac:dyDescent="0.25">
      <c r="A5" s="4" t="s">
        <v>162</v>
      </c>
      <c r="B5" s="15">
        <v>112970.65999999999</v>
      </c>
      <c r="D5" s="4" t="s">
        <v>33</v>
      </c>
      <c r="E5" s="15">
        <v>8</v>
      </c>
      <c r="G5" s="4" t="s">
        <v>162</v>
      </c>
      <c r="H5" s="15">
        <v>2824.2665000000002</v>
      </c>
    </row>
    <row r="6" spans="1:8" x14ac:dyDescent="0.25">
      <c r="D6" s="4" t="s">
        <v>20</v>
      </c>
      <c r="E6" s="15">
        <v>7</v>
      </c>
    </row>
    <row r="7" spans="1:8" x14ac:dyDescent="0.25">
      <c r="A7" s="14" t="s">
        <v>161</v>
      </c>
      <c r="B7" t="s">
        <v>166</v>
      </c>
      <c r="D7" s="4" t="s">
        <v>40</v>
      </c>
      <c r="E7" s="15">
        <v>8</v>
      </c>
    </row>
    <row r="8" spans="1:8" x14ac:dyDescent="0.25">
      <c r="A8" s="4" t="s">
        <v>164</v>
      </c>
      <c r="B8" s="15">
        <v>34</v>
      </c>
      <c r="D8" s="4" t="s">
        <v>162</v>
      </c>
      <c r="E8" s="15">
        <v>40</v>
      </c>
    </row>
    <row r="9" spans="1:8" x14ac:dyDescent="0.25">
      <c r="A9" s="4" t="s">
        <v>165</v>
      </c>
      <c r="B9" s="15">
        <v>6</v>
      </c>
    </row>
    <row r="10" spans="1:8" x14ac:dyDescent="0.25">
      <c r="A10" s="4" t="s">
        <v>162</v>
      </c>
      <c r="B10" s="15">
        <v>40</v>
      </c>
    </row>
    <row r="12" spans="1:8" x14ac:dyDescent="0.25">
      <c r="A12" s="14" t="s">
        <v>161</v>
      </c>
      <c r="B12" t="s">
        <v>163</v>
      </c>
      <c r="D12" s="14" t="s">
        <v>161</v>
      </c>
      <c r="E12" t="s">
        <v>163</v>
      </c>
    </row>
    <row r="13" spans="1:8" x14ac:dyDescent="0.25">
      <c r="A13" s="16">
        <v>45658</v>
      </c>
      <c r="B13" s="15">
        <v>3280.5</v>
      </c>
      <c r="D13" s="4" t="s">
        <v>66</v>
      </c>
      <c r="E13" s="15">
        <v>2281.2600000000002</v>
      </c>
    </row>
    <row r="14" spans="1:8" x14ac:dyDescent="0.25">
      <c r="A14" s="16">
        <v>45659</v>
      </c>
      <c r="B14" s="15">
        <v>5021.21</v>
      </c>
      <c r="D14" s="17" t="s">
        <v>65</v>
      </c>
      <c r="E14" s="15">
        <v>2281.2600000000002</v>
      </c>
    </row>
    <row r="15" spans="1:8" x14ac:dyDescent="0.25">
      <c r="A15" s="16">
        <v>45660</v>
      </c>
      <c r="B15" s="15">
        <v>5101.08</v>
      </c>
      <c r="D15" s="4" t="s">
        <v>117</v>
      </c>
      <c r="E15" s="15">
        <v>3280.5</v>
      </c>
    </row>
    <row r="16" spans="1:8" x14ac:dyDescent="0.25">
      <c r="A16" s="16">
        <v>45661</v>
      </c>
      <c r="B16" s="15">
        <v>5201.04</v>
      </c>
      <c r="D16" s="17" t="s">
        <v>116</v>
      </c>
      <c r="E16" s="15">
        <v>3280.5</v>
      </c>
    </row>
    <row r="17" spans="1:5" x14ac:dyDescent="0.25">
      <c r="A17" s="16">
        <v>45662</v>
      </c>
      <c r="B17" s="15">
        <v>5381.54</v>
      </c>
      <c r="D17" s="4" t="s">
        <v>150</v>
      </c>
      <c r="E17" s="15">
        <v>3900.63</v>
      </c>
    </row>
    <row r="18" spans="1:5" x14ac:dyDescent="0.25">
      <c r="A18" s="16">
        <v>45663</v>
      </c>
      <c r="B18" s="15">
        <v>5461.35</v>
      </c>
      <c r="D18" s="17" t="s">
        <v>149</v>
      </c>
      <c r="E18" s="15">
        <v>3900.63</v>
      </c>
    </row>
    <row r="19" spans="1:5" x14ac:dyDescent="0.25">
      <c r="A19" s="16">
        <v>45664</v>
      </c>
      <c r="B19" s="15">
        <v>5561.2800000000007</v>
      </c>
      <c r="D19" s="4" t="s">
        <v>31</v>
      </c>
      <c r="E19" s="15">
        <v>1740.39</v>
      </c>
    </row>
    <row r="20" spans="1:5" x14ac:dyDescent="0.25">
      <c r="A20" s="16">
        <v>45665</v>
      </c>
      <c r="B20" s="15">
        <v>5741.87</v>
      </c>
      <c r="D20" s="17" t="s">
        <v>30</v>
      </c>
      <c r="E20" s="15">
        <v>1740.39</v>
      </c>
    </row>
    <row r="21" spans="1:5" x14ac:dyDescent="0.25">
      <c r="A21" s="16">
        <v>45666</v>
      </c>
      <c r="B21" s="15">
        <v>5821.62</v>
      </c>
      <c r="D21" s="4" t="s">
        <v>87</v>
      </c>
      <c r="E21" s="15">
        <v>2640.42</v>
      </c>
    </row>
    <row r="22" spans="1:5" x14ac:dyDescent="0.25">
      <c r="A22" s="16">
        <v>45667</v>
      </c>
      <c r="B22" s="15">
        <v>5921.52</v>
      </c>
      <c r="D22" s="17" t="s">
        <v>86</v>
      </c>
      <c r="E22" s="15">
        <v>2640.42</v>
      </c>
    </row>
    <row r="23" spans="1:5" x14ac:dyDescent="0.25">
      <c r="A23" s="16">
        <v>45668</v>
      </c>
      <c r="B23" s="15">
        <v>6102.2</v>
      </c>
      <c r="D23" s="4" t="s">
        <v>72</v>
      </c>
      <c r="E23" s="15">
        <v>2381.15</v>
      </c>
    </row>
    <row r="24" spans="1:5" x14ac:dyDescent="0.25">
      <c r="A24" s="16">
        <v>45669</v>
      </c>
      <c r="B24" s="15">
        <v>6181.89</v>
      </c>
      <c r="D24" s="17" t="s">
        <v>71</v>
      </c>
      <c r="E24" s="15">
        <v>2381.15</v>
      </c>
    </row>
    <row r="25" spans="1:5" x14ac:dyDescent="0.25">
      <c r="A25" s="16">
        <v>45670</v>
      </c>
      <c r="B25" s="15">
        <v>6281.76</v>
      </c>
      <c r="D25" s="4" t="s">
        <v>96</v>
      </c>
      <c r="E25" s="15">
        <v>2820.51</v>
      </c>
    </row>
    <row r="26" spans="1:5" x14ac:dyDescent="0.25">
      <c r="A26" s="16">
        <v>45671</v>
      </c>
      <c r="B26" s="15">
        <v>2381.15</v>
      </c>
      <c r="D26" s="17" t="s">
        <v>95</v>
      </c>
      <c r="E26" s="15">
        <v>2820.51</v>
      </c>
    </row>
    <row r="27" spans="1:5" x14ac:dyDescent="0.25">
      <c r="A27" s="16">
        <v>45672</v>
      </c>
      <c r="B27" s="15">
        <v>2460.6</v>
      </c>
      <c r="D27" s="4" t="s">
        <v>25</v>
      </c>
      <c r="E27" s="15">
        <v>1740.72</v>
      </c>
    </row>
    <row r="28" spans="1:5" x14ac:dyDescent="0.25">
      <c r="A28" s="16">
        <v>45673</v>
      </c>
      <c r="B28" s="15">
        <v>2460.33</v>
      </c>
      <c r="D28" s="17" t="s">
        <v>24</v>
      </c>
      <c r="E28" s="15">
        <v>1740.72</v>
      </c>
    </row>
    <row r="29" spans="1:5" x14ac:dyDescent="0.25">
      <c r="A29" s="16">
        <v>45674</v>
      </c>
      <c r="B29" s="15">
        <v>2560.6</v>
      </c>
      <c r="D29" s="4" t="s">
        <v>111</v>
      </c>
      <c r="E29" s="15">
        <v>3181.32</v>
      </c>
    </row>
    <row r="30" spans="1:5" x14ac:dyDescent="0.25">
      <c r="A30" s="16">
        <v>45675</v>
      </c>
      <c r="B30" s="15">
        <v>2640.78</v>
      </c>
      <c r="D30" s="17" t="s">
        <v>110</v>
      </c>
      <c r="E30" s="15">
        <v>3181.32</v>
      </c>
    </row>
    <row r="31" spans="1:5" x14ac:dyDescent="0.25">
      <c r="A31" s="16">
        <v>45676</v>
      </c>
      <c r="B31" s="15">
        <v>2640.42</v>
      </c>
      <c r="D31" s="4" t="s">
        <v>99</v>
      </c>
      <c r="E31" s="15">
        <v>2920.9</v>
      </c>
    </row>
    <row r="32" spans="1:5" x14ac:dyDescent="0.25">
      <c r="A32" s="16">
        <v>45677</v>
      </c>
      <c r="B32" s="15">
        <v>2740.75</v>
      </c>
      <c r="D32" s="17" t="s">
        <v>98</v>
      </c>
      <c r="E32" s="15">
        <v>2920.9</v>
      </c>
    </row>
    <row r="33" spans="1:5" x14ac:dyDescent="0.25">
      <c r="A33" s="16">
        <v>45678</v>
      </c>
      <c r="B33" s="15">
        <v>2820.96</v>
      </c>
      <c r="D33" s="4" t="s">
        <v>60</v>
      </c>
      <c r="E33" s="15">
        <v>2100.5700000000002</v>
      </c>
    </row>
    <row r="34" spans="1:5" x14ac:dyDescent="0.25">
      <c r="A34" s="16">
        <v>45679</v>
      </c>
      <c r="B34" s="15">
        <v>2820.51</v>
      </c>
      <c r="D34" s="17" t="s">
        <v>59</v>
      </c>
      <c r="E34" s="15">
        <v>2100.5700000000002</v>
      </c>
    </row>
    <row r="35" spans="1:5" x14ac:dyDescent="0.25">
      <c r="A35" s="16">
        <v>45680</v>
      </c>
      <c r="B35" s="15">
        <v>2920.9</v>
      </c>
      <c r="D35" s="4" t="s">
        <v>126</v>
      </c>
      <c r="E35" s="15">
        <v>3460.65</v>
      </c>
    </row>
    <row r="36" spans="1:5" x14ac:dyDescent="0.25">
      <c r="A36" s="16">
        <v>45681</v>
      </c>
      <c r="B36" s="15">
        <v>3001.14</v>
      </c>
      <c r="D36" s="17" t="s">
        <v>125</v>
      </c>
      <c r="E36" s="15">
        <v>3460.65</v>
      </c>
    </row>
    <row r="37" spans="1:5" x14ac:dyDescent="0.25">
      <c r="A37" s="16">
        <v>45682</v>
      </c>
      <c r="B37" s="15">
        <v>3000.6</v>
      </c>
      <c r="D37" s="4" t="s">
        <v>147</v>
      </c>
      <c r="E37" s="15">
        <v>3901.2</v>
      </c>
    </row>
    <row r="38" spans="1:5" x14ac:dyDescent="0.25">
      <c r="A38" s="16">
        <v>45683</v>
      </c>
      <c r="B38" s="15">
        <v>3101.05</v>
      </c>
      <c r="D38" s="17" t="s">
        <v>146</v>
      </c>
      <c r="E38" s="15">
        <v>3901.2</v>
      </c>
    </row>
    <row r="39" spans="1:5" x14ac:dyDescent="0.25">
      <c r="A39" s="16">
        <v>45684</v>
      </c>
      <c r="B39" s="15">
        <v>3181.32</v>
      </c>
      <c r="D39" s="4" t="s">
        <v>56</v>
      </c>
      <c r="E39" s="15">
        <v>2101.08</v>
      </c>
    </row>
    <row r="40" spans="1:5" x14ac:dyDescent="0.25">
      <c r="A40" s="16">
        <v>45685</v>
      </c>
      <c r="B40" s="15">
        <v>3180.69</v>
      </c>
      <c r="D40" s="17" t="s">
        <v>55</v>
      </c>
      <c r="E40" s="15">
        <v>2101.08</v>
      </c>
    </row>
    <row r="41" spans="1:5" x14ac:dyDescent="0.25">
      <c r="A41" s="16" t="s">
        <v>162</v>
      </c>
      <c r="B41" s="15">
        <v>112970.66000000002</v>
      </c>
      <c r="D41" s="4" t="s">
        <v>144</v>
      </c>
      <c r="E41" s="15">
        <v>3820.95</v>
      </c>
    </row>
    <row r="42" spans="1:5" x14ac:dyDescent="0.25">
      <c r="D42" s="17" t="s">
        <v>143</v>
      </c>
      <c r="E42" s="15">
        <v>3820.95</v>
      </c>
    </row>
    <row r="43" spans="1:5" x14ac:dyDescent="0.25">
      <c r="D43" s="4" t="s">
        <v>90</v>
      </c>
      <c r="E43" s="15">
        <v>2740.75</v>
      </c>
    </row>
    <row r="44" spans="1:5" x14ac:dyDescent="0.25">
      <c r="D44" s="17" t="s">
        <v>89</v>
      </c>
      <c r="E44" s="15">
        <v>2740.75</v>
      </c>
    </row>
    <row r="45" spans="1:5" x14ac:dyDescent="0.25">
      <c r="D45" s="4" t="s">
        <v>48</v>
      </c>
      <c r="E45" s="15">
        <v>1920.48</v>
      </c>
    </row>
    <row r="46" spans="1:5" x14ac:dyDescent="0.25">
      <c r="D46" s="17" t="s">
        <v>47</v>
      </c>
      <c r="E46" s="15">
        <v>1920.48</v>
      </c>
    </row>
    <row r="47" spans="1:5" x14ac:dyDescent="0.25">
      <c r="D47" s="4" t="s">
        <v>93</v>
      </c>
      <c r="E47" s="15">
        <v>2820.96</v>
      </c>
    </row>
    <row r="48" spans="1:5" x14ac:dyDescent="0.25">
      <c r="D48" s="17" t="s">
        <v>92</v>
      </c>
      <c r="E48" s="15">
        <v>2820.96</v>
      </c>
    </row>
    <row r="49" spans="4:5" x14ac:dyDescent="0.25">
      <c r="D49" s="4" t="s">
        <v>120</v>
      </c>
      <c r="E49" s="15">
        <v>3360.66</v>
      </c>
    </row>
    <row r="50" spans="4:5" x14ac:dyDescent="0.25">
      <c r="D50" s="17" t="s">
        <v>119</v>
      </c>
      <c r="E50" s="15">
        <v>3360.66</v>
      </c>
    </row>
    <row r="51" spans="4:5" x14ac:dyDescent="0.25">
      <c r="D51" s="4" t="s">
        <v>138</v>
      </c>
      <c r="E51" s="15">
        <v>3721.02</v>
      </c>
    </row>
    <row r="52" spans="4:5" x14ac:dyDescent="0.25">
      <c r="D52" s="17" t="s">
        <v>137</v>
      </c>
      <c r="E52" s="15">
        <v>3721.02</v>
      </c>
    </row>
    <row r="53" spans="4:5" x14ac:dyDescent="0.25">
      <c r="D53" s="4" t="s">
        <v>102</v>
      </c>
      <c r="E53" s="15">
        <v>3001.14</v>
      </c>
    </row>
    <row r="54" spans="4:5" x14ac:dyDescent="0.25">
      <c r="D54" s="17" t="s">
        <v>101</v>
      </c>
      <c r="E54" s="15">
        <v>3001.14</v>
      </c>
    </row>
    <row r="55" spans="4:5" x14ac:dyDescent="0.25">
      <c r="D55" s="4" t="s">
        <v>108</v>
      </c>
      <c r="E55" s="15">
        <v>3101.05</v>
      </c>
    </row>
    <row r="56" spans="4:5" x14ac:dyDescent="0.25">
      <c r="D56" s="17" t="s">
        <v>107</v>
      </c>
      <c r="E56" s="15">
        <v>3101.05</v>
      </c>
    </row>
    <row r="57" spans="4:5" x14ac:dyDescent="0.25">
      <c r="D57" s="4" t="s">
        <v>43</v>
      </c>
      <c r="E57" s="15">
        <v>1920.9</v>
      </c>
    </row>
    <row r="58" spans="4:5" x14ac:dyDescent="0.25">
      <c r="D58" s="17" t="s">
        <v>42</v>
      </c>
      <c r="E58" s="15">
        <v>1920.9</v>
      </c>
    </row>
    <row r="59" spans="4:5" x14ac:dyDescent="0.25">
      <c r="D59" s="4" t="s">
        <v>63</v>
      </c>
      <c r="E59" s="15">
        <v>2201</v>
      </c>
    </row>
    <row r="60" spans="4:5" x14ac:dyDescent="0.25">
      <c r="D60" s="17" t="s">
        <v>62</v>
      </c>
      <c r="E60" s="15">
        <v>2201</v>
      </c>
    </row>
    <row r="61" spans="4:5" x14ac:dyDescent="0.25">
      <c r="D61" s="4" t="s">
        <v>153</v>
      </c>
      <c r="E61" s="15">
        <v>4001.1</v>
      </c>
    </row>
    <row r="62" spans="4:5" x14ac:dyDescent="0.25">
      <c r="D62" s="17" t="s">
        <v>152</v>
      </c>
      <c r="E62" s="15">
        <v>4001.1</v>
      </c>
    </row>
    <row r="63" spans="4:5" x14ac:dyDescent="0.25">
      <c r="D63" s="4" t="s">
        <v>114</v>
      </c>
      <c r="E63" s="15">
        <v>3180.69</v>
      </c>
    </row>
    <row r="64" spans="4:5" x14ac:dyDescent="0.25">
      <c r="D64" s="17" t="s">
        <v>113</v>
      </c>
      <c r="E64" s="15">
        <v>3180.69</v>
      </c>
    </row>
    <row r="65" spans="4:5" x14ac:dyDescent="0.25">
      <c r="D65" s="4" t="s">
        <v>53</v>
      </c>
      <c r="E65" s="15">
        <v>2020.85</v>
      </c>
    </row>
    <row r="66" spans="4:5" x14ac:dyDescent="0.25">
      <c r="D66" s="17" t="s">
        <v>52</v>
      </c>
      <c r="E66" s="15">
        <v>2020.85</v>
      </c>
    </row>
    <row r="67" spans="4:5" x14ac:dyDescent="0.25">
      <c r="D67" s="4" t="s">
        <v>78</v>
      </c>
      <c r="E67" s="15">
        <v>2460.33</v>
      </c>
    </row>
    <row r="68" spans="4:5" x14ac:dyDescent="0.25">
      <c r="D68" s="17" t="s">
        <v>77</v>
      </c>
      <c r="E68" s="15">
        <v>2460.33</v>
      </c>
    </row>
    <row r="69" spans="4:5" x14ac:dyDescent="0.25">
      <c r="D69" s="4" t="s">
        <v>132</v>
      </c>
      <c r="E69" s="15">
        <v>3540.45</v>
      </c>
    </row>
    <row r="70" spans="4:5" x14ac:dyDescent="0.25">
      <c r="D70" s="17" t="s">
        <v>131</v>
      </c>
      <c r="E70" s="15">
        <v>3540.45</v>
      </c>
    </row>
    <row r="71" spans="4:5" x14ac:dyDescent="0.25">
      <c r="D71" s="4" t="s">
        <v>141</v>
      </c>
      <c r="E71" s="15">
        <v>3720.54</v>
      </c>
    </row>
    <row r="72" spans="4:5" x14ac:dyDescent="0.25">
      <c r="D72" s="17" t="s">
        <v>140</v>
      </c>
      <c r="E72" s="15">
        <v>3720.54</v>
      </c>
    </row>
    <row r="73" spans="4:5" x14ac:dyDescent="0.25">
      <c r="D73" s="4" t="s">
        <v>129</v>
      </c>
      <c r="E73" s="15">
        <v>3540.84</v>
      </c>
    </row>
    <row r="74" spans="4:5" x14ac:dyDescent="0.25">
      <c r="D74" s="17" t="s">
        <v>128</v>
      </c>
      <c r="E74" s="15">
        <v>3540.84</v>
      </c>
    </row>
    <row r="75" spans="4:5" x14ac:dyDescent="0.25">
      <c r="D75" s="4" t="s">
        <v>38</v>
      </c>
      <c r="E75" s="15">
        <v>1840.7</v>
      </c>
    </row>
    <row r="76" spans="4:5" x14ac:dyDescent="0.25">
      <c r="D76" s="17" t="s">
        <v>37</v>
      </c>
      <c r="E76" s="15">
        <v>1840.7</v>
      </c>
    </row>
    <row r="77" spans="4:5" x14ac:dyDescent="0.25">
      <c r="D77" s="4" t="s">
        <v>105</v>
      </c>
      <c r="E77" s="15">
        <v>3000.6</v>
      </c>
    </row>
    <row r="78" spans="4:5" x14ac:dyDescent="0.25">
      <c r="D78" s="17" t="s">
        <v>104</v>
      </c>
      <c r="E78" s="15">
        <v>3000.6</v>
      </c>
    </row>
    <row r="79" spans="4:5" x14ac:dyDescent="0.25">
      <c r="D79" s="4" t="s">
        <v>81</v>
      </c>
      <c r="E79" s="15">
        <v>2560.6</v>
      </c>
    </row>
    <row r="80" spans="4:5" x14ac:dyDescent="0.25">
      <c r="D80" s="17" t="s">
        <v>80</v>
      </c>
      <c r="E80" s="15">
        <v>2560.6</v>
      </c>
    </row>
    <row r="81" spans="4:5" x14ac:dyDescent="0.25">
      <c r="D81" s="4" t="s">
        <v>69</v>
      </c>
      <c r="E81" s="15">
        <v>2280.66</v>
      </c>
    </row>
    <row r="82" spans="4:5" x14ac:dyDescent="0.25">
      <c r="D82" s="17" t="s">
        <v>68</v>
      </c>
      <c r="E82" s="15">
        <v>2280.66</v>
      </c>
    </row>
    <row r="83" spans="4:5" x14ac:dyDescent="0.25">
      <c r="D83" s="4" t="s">
        <v>75</v>
      </c>
      <c r="E83" s="15">
        <v>2460.6</v>
      </c>
    </row>
    <row r="84" spans="4:5" x14ac:dyDescent="0.25">
      <c r="D84" s="17" t="s">
        <v>74</v>
      </c>
      <c r="E84" s="15">
        <v>2460.6</v>
      </c>
    </row>
    <row r="85" spans="4:5" x14ac:dyDescent="0.25">
      <c r="D85" s="4" t="s">
        <v>84</v>
      </c>
      <c r="E85" s="15">
        <v>2640.78</v>
      </c>
    </row>
    <row r="86" spans="4:5" x14ac:dyDescent="0.25">
      <c r="D86" s="17" t="s">
        <v>83</v>
      </c>
      <c r="E86" s="15">
        <v>2640.78</v>
      </c>
    </row>
    <row r="87" spans="4:5" x14ac:dyDescent="0.25">
      <c r="D87" s="4" t="s">
        <v>135</v>
      </c>
      <c r="E87" s="15">
        <v>3640.8</v>
      </c>
    </row>
    <row r="88" spans="4:5" x14ac:dyDescent="0.25">
      <c r="D88" s="17" t="s">
        <v>134</v>
      </c>
      <c r="E88" s="15">
        <v>3640.8</v>
      </c>
    </row>
    <row r="89" spans="4:5" x14ac:dyDescent="0.25">
      <c r="D89" s="4" t="s">
        <v>123</v>
      </c>
      <c r="E89" s="15">
        <v>3360.36</v>
      </c>
    </row>
    <row r="90" spans="4:5" x14ac:dyDescent="0.25">
      <c r="D90" s="17" t="s">
        <v>122</v>
      </c>
      <c r="E90" s="15">
        <v>3360.36</v>
      </c>
    </row>
    <row r="91" spans="4:5" x14ac:dyDescent="0.25">
      <c r="D91" s="4" t="s">
        <v>18</v>
      </c>
      <c r="E91" s="15">
        <v>1660.55</v>
      </c>
    </row>
    <row r="92" spans="4:5" x14ac:dyDescent="0.25">
      <c r="D92" s="17" t="s">
        <v>17</v>
      </c>
      <c r="E92" s="15">
        <v>1660.55</v>
      </c>
    </row>
    <row r="93" spans="4:5" x14ac:dyDescent="0.25">
      <c r="D93" s="4" t="s">
        <v>162</v>
      </c>
      <c r="E93" s="15">
        <v>112970.66000000003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7484-17B3-4456-B1A7-895D2BF61FD7}">
  <dimension ref="A1:AK1"/>
  <sheetViews>
    <sheetView tabSelected="1" zoomScale="86" workbookViewId="0">
      <selection activeCell="B1" sqref="B1"/>
    </sheetView>
  </sheetViews>
  <sheetFormatPr defaultRowHeight="15" x14ac:dyDescent="0.25"/>
  <sheetData>
    <row r="1" spans="1:37" ht="49.5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"/>
  <sheetViews>
    <sheetView zoomScaleNormal="100" workbookViewId="0">
      <selection activeCell="B8" sqref="A1:R41"/>
    </sheetView>
  </sheetViews>
  <sheetFormatPr defaultColWidth="8.85546875" defaultRowHeight="15" x14ac:dyDescent="0.25"/>
  <cols>
    <col min="1" max="1" width="8.42578125" bestFit="1" customWidth="1"/>
    <col min="2" max="2" width="11.7109375" style="4" bestFit="1" customWidth="1"/>
    <col min="3" max="3" width="10.140625" style="4" bestFit="1" customWidth="1"/>
    <col min="4" max="4" width="8.28515625" style="4" bestFit="1" customWidth="1"/>
    <col min="5" max="5" width="10.28515625" style="4" bestFit="1" customWidth="1"/>
    <col min="6" max="6" width="17.42578125" style="4" customWidth="1"/>
    <col min="7" max="7" width="7.7109375" style="4" bestFit="1" customWidth="1"/>
    <col min="8" max="8" width="16.140625" customWidth="1"/>
    <col min="9" max="9" width="14.140625" bestFit="1" customWidth="1"/>
    <col min="10" max="10" width="14.140625" customWidth="1"/>
    <col min="11" max="11" width="15.85546875" bestFit="1" customWidth="1"/>
    <col min="12" max="12" width="5.85546875" bestFit="1" customWidth="1"/>
    <col min="13" max="13" width="10.5703125" customWidth="1"/>
    <col min="14" max="14" width="12.5703125" customWidth="1"/>
    <col min="15" max="15" width="16.42578125" customWidth="1"/>
    <col min="16" max="16" width="14.140625" customWidth="1"/>
    <col min="17" max="17" width="11.5703125" customWidth="1"/>
    <col min="19" max="19" width="5.28515625" customWidth="1"/>
    <col min="20" max="20" width="40.140625" style="12" customWidth="1"/>
    <col min="21" max="21" width="11.28515625" style="12" customWidth="1"/>
  </cols>
  <sheetData>
    <row r="1" spans="1:2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159</v>
      </c>
    </row>
    <row r="2" spans="1:25" x14ac:dyDescent="0.25">
      <c r="A2" s="1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1">
        <v>2011</v>
      </c>
      <c r="I2" s="1">
        <v>93000</v>
      </c>
      <c r="J2" s="1" t="s">
        <v>23</v>
      </c>
      <c r="K2" s="2">
        <v>45659</v>
      </c>
      <c r="L2" s="1">
        <v>12</v>
      </c>
      <c r="M2" s="1">
        <v>1560</v>
      </c>
      <c r="N2" s="1">
        <f>IF(F2="Moto",0.05,IF(F2="Voiture",0.03,IF(F2="Camion",0.06,0)))</f>
        <v>0.05</v>
      </c>
      <c r="O2" s="1">
        <f>H2*N2</f>
        <v>100.55000000000001</v>
      </c>
      <c r="P2" s="1">
        <f>M2+O2</f>
        <v>1660.55</v>
      </c>
      <c r="Q2" s="1" t="str">
        <f>IF(P2&lt;2000,"Standard",IF(P2&lt;5000,"Premium","VIP"))</f>
        <v>Standard</v>
      </c>
      <c r="R2" s="1">
        <f>RANK(P2,P:P,0)</f>
        <v>40</v>
      </c>
    </row>
    <row r="3" spans="1:25" x14ac:dyDescent="0.25">
      <c r="A3" s="1">
        <v>2</v>
      </c>
      <c r="B3" s="3" t="s">
        <v>24</v>
      </c>
      <c r="C3" s="3" t="s">
        <v>25</v>
      </c>
      <c r="D3" s="3" t="s">
        <v>26</v>
      </c>
      <c r="E3" s="3" t="s">
        <v>20</v>
      </c>
      <c r="F3" s="3" t="s">
        <v>27</v>
      </c>
      <c r="G3" s="3" t="s">
        <v>28</v>
      </c>
      <c r="H3" s="1">
        <v>2012</v>
      </c>
      <c r="I3" s="1">
        <v>96000</v>
      </c>
      <c r="J3" s="1" t="s">
        <v>29</v>
      </c>
      <c r="K3" s="2">
        <v>45660</v>
      </c>
      <c r="L3" s="1">
        <v>12</v>
      </c>
      <c r="M3" s="1">
        <v>1620</v>
      </c>
      <c r="N3" s="1">
        <f t="shared" ref="N3:N41" si="0">IF(F3="Moto",0.05,IF(F3="Voiture",0.03,IF(F3="Camion",0.06,0)))</f>
        <v>0.06</v>
      </c>
      <c r="O3" s="1">
        <f t="shared" ref="O3:O41" si="1">H3*N3</f>
        <v>120.72</v>
      </c>
      <c r="P3" s="1">
        <f t="shared" ref="P3:P41" si="2">M3+O3</f>
        <v>1740.72</v>
      </c>
      <c r="Q3" s="1" t="str">
        <f t="shared" ref="Q3:Q41" si="3">IF(P3&lt;2000,"Standard",IF(P3&lt;5000,"Premium","VIP"))</f>
        <v>Standard</v>
      </c>
      <c r="R3" s="1">
        <f t="shared" ref="R3:R41" si="4">RANK(P3,P:P,0)</f>
        <v>38</v>
      </c>
      <c r="U3" s="13"/>
      <c r="V3" s="7"/>
      <c r="W3" s="7"/>
      <c r="X3" s="7"/>
      <c r="Y3" s="7"/>
    </row>
    <row r="4" spans="1:25" x14ac:dyDescent="0.25">
      <c r="A4" s="1">
        <v>3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1">
        <v>2013</v>
      </c>
      <c r="I4" s="1">
        <v>99000</v>
      </c>
      <c r="J4" s="1" t="s">
        <v>36</v>
      </c>
      <c r="K4" s="2">
        <v>45661</v>
      </c>
      <c r="L4" s="1">
        <v>12</v>
      </c>
      <c r="M4" s="1">
        <v>1680</v>
      </c>
      <c r="N4" s="1">
        <f t="shared" si="0"/>
        <v>0.03</v>
      </c>
      <c r="O4" s="1">
        <f t="shared" si="1"/>
        <v>60.39</v>
      </c>
      <c r="P4" s="1">
        <f t="shared" si="2"/>
        <v>1740.39</v>
      </c>
      <c r="Q4" s="1" t="str">
        <f t="shared" si="3"/>
        <v>Standard</v>
      </c>
      <c r="R4" s="1">
        <f t="shared" si="4"/>
        <v>39</v>
      </c>
      <c r="U4" s="13"/>
      <c r="V4" s="7"/>
      <c r="W4" s="7"/>
      <c r="X4" s="7"/>
      <c r="Y4" s="7"/>
    </row>
    <row r="5" spans="1:25" x14ac:dyDescent="0.25">
      <c r="A5" s="1">
        <v>4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21</v>
      </c>
      <c r="G5" s="3" t="s">
        <v>41</v>
      </c>
      <c r="H5" s="1">
        <v>2014</v>
      </c>
      <c r="I5" s="1">
        <v>102000</v>
      </c>
      <c r="J5" s="1" t="s">
        <v>23</v>
      </c>
      <c r="K5" s="2">
        <v>45662</v>
      </c>
      <c r="L5" s="1">
        <v>12</v>
      </c>
      <c r="M5" s="1">
        <v>1740</v>
      </c>
      <c r="N5" s="1">
        <f t="shared" si="0"/>
        <v>0.05</v>
      </c>
      <c r="O5" s="1">
        <f t="shared" si="1"/>
        <v>100.7</v>
      </c>
      <c r="P5" s="1">
        <f t="shared" si="2"/>
        <v>1840.7</v>
      </c>
      <c r="Q5" s="1" t="str">
        <f t="shared" si="3"/>
        <v>Standard</v>
      </c>
      <c r="R5" s="1">
        <f t="shared" si="4"/>
        <v>37</v>
      </c>
      <c r="U5" s="13"/>
      <c r="V5" s="7"/>
      <c r="W5" s="7"/>
      <c r="X5" s="7"/>
      <c r="Y5" s="7"/>
    </row>
    <row r="6" spans="1:25" x14ac:dyDescent="0.25">
      <c r="A6" s="1">
        <v>5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27</v>
      </c>
      <c r="G6" s="3" t="s">
        <v>46</v>
      </c>
      <c r="H6" s="1">
        <v>2015</v>
      </c>
      <c r="I6" s="1">
        <v>105000</v>
      </c>
      <c r="J6" s="1" t="s">
        <v>29</v>
      </c>
      <c r="K6" s="2">
        <v>45663</v>
      </c>
      <c r="L6" s="1">
        <v>12</v>
      </c>
      <c r="M6" s="1">
        <v>1800</v>
      </c>
      <c r="N6" s="1">
        <f t="shared" si="0"/>
        <v>0.06</v>
      </c>
      <c r="O6" s="1">
        <f t="shared" si="1"/>
        <v>120.89999999999999</v>
      </c>
      <c r="P6" s="1">
        <f t="shared" si="2"/>
        <v>1920.9</v>
      </c>
      <c r="Q6" s="1" t="str">
        <f t="shared" si="3"/>
        <v>Standard</v>
      </c>
      <c r="R6" s="1">
        <f t="shared" si="4"/>
        <v>35</v>
      </c>
      <c r="T6" s="11" t="s">
        <v>155</v>
      </c>
      <c r="U6" s="10">
        <f>COUNTIF(J:J,"Tous Risques")</f>
        <v>13</v>
      </c>
      <c r="V6" s="7"/>
      <c r="W6" s="7"/>
      <c r="X6" s="7"/>
      <c r="Y6" s="7"/>
    </row>
    <row r="7" spans="1:25" x14ac:dyDescent="0.25">
      <c r="A7" s="1">
        <v>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34</v>
      </c>
      <c r="G7" s="3" t="s">
        <v>51</v>
      </c>
      <c r="H7" s="1">
        <v>2016</v>
      </c>
      <c r="I7" s="1">
        <v>108000</v>
      </c>
      <c r="J7" s="1" t="s">
        <v>36</v>
      </c>
      <c r="K7" s="2">
        <v>45664</v>
      </c>
      <c r="L7" s="1">
        <v>12</v>
      </c>
      <c r="M7" s="1">
        <v>1860</v>
      </c>
      <c r="N7" s="1">
        <f t="shared" si="0"/>
        <v>0.03</v>
      </c>
      <c r="O7" s="1">
        <f t="shared" si="1"/>
        <v>60.48</v>
      </c>
      <c r="P7" s="1">
        <f t="shared" si="2"/>
        <v>1920.48</v>
      </c>
      <c r="Q7" s="1" t="str">
        <f t="shared" si="3"/>
        <v>Standard</v>
      </c>
      <c r="R7" s="1">
        <f t="shared" si="4"/>
        <v>36</v>
      </c>
      <c r="T7" s="11" t="s">
        <v>156</v>
      </c>
      <c r="U7" s="10">
        <f>COUNTIF(F:F,"Voiture")</f>
        <v>13</v>
      </c>
      <c r="V7" s="7"/>
      <c r="W7" s="7"/>
      <c r="X7" s="7"/>
      <c r="Y7" s="7"/>
    </row>
    <row r="8" spans="1:25" x14ac:dyDescent="0.25">
      <c r="A8" s="1">
        <v>7</v>
      </c>
      <c r="B8" s="3" t="s">
        <v>52</v>
      </c>
      <c r="C8" s="3" t="s">
        <v>53</v>
      </c>
      <c r="D8" s="3" t="s">
        <v>54</v>
      </c>
      <c r="E8" s="3" t="s">
        <v>33</v>
      </c>
      <c r="F8" s="3" t="s">
        <v>21</v>
      </c>
      <c r="G8" s="3" t="s">
        <v>22</v>
      </c>
      <c r="H8" s="1">
        <v>2017</v>
      </c>
      <c r="I8" s="1">
        <v>111000</v>
      </c>
      <c r="J8" s="1" t="s">
        <v>23</v>
      </c>
      <c r="K8" s="2">
        <v>45665</v>
      </c>
      <c r="L8" s="1">
        <v>12</v>
      </c>
      <c r="M8" s="1">
        <v>1920</v>
      </c>
      <c r="N8" s="1">
        <f t="shared" si="0"/>
        <v>0.05</v>
      </c>
      <c r="O8" s="1">
        <f t="shared" si="1"/>
        <v>100.85000000000001</v>
      </c>
      <c r="P8" s="1">
        <f t="shared" si="2"/>
        <v>2020.85</v>
      </c>
      <c r="Q8" s="1" t="str">
        <f t="shared" si="3"/>
        <v>Premium</v>
      </c>
      <c r="R8" s="1">
        <f t="shared" si="4"/>
        <v>34</v>
      </c>
      <c r="T8" s="11" t="s">
        <v>157</v>
      </c>
      <c r="U8" s="10">
        <f>SUMIF(E:E,"Ouarzazate",P:P)</f>
        <v>19326.28</v>
      </c>
      <c r="V8" s="7"/>
      <c r="W8" s="7"/>
      <c r="X8" s="7"/>
      <c r="Y8" s="7"/>
    </row>
    <row r="9" spans="1:25" x14ac:dyDescent="0.25">
      <c r="A9" s="1">
        <v>8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27</v>
      </c>
      <c r="G9" s="3" t="s">
        <v>28</v>
      </c>
      <c r="H9" s="1">
        <v>2018</v>
      </c>
      <c r="I9" s="1">
        <v>114000</v>
      </c>
      <c r="J9" s="1" t="s">
        <v>29</v>
      </c>
      <c r="K9" s="2">
        <v>45666</v>
      </c>
      <c r="L9" s="1">
        <v>12</v>
      </c>
      <c r="M9" s="1">
        <v>1980</v>
      </c>
      <c r="N9" s="1">
        <f t="shared" si="0"/>
        <v>0.06</v>
      </c>
      <c r="O9" s="1">
        <f t="shared" si="1"/>
        <v>121.08</v>
      </c>
      <c r="P9" s="1">
        <f t="shared" si="2"/>
        <v>2101.08</v>
      </c>
      <c r="Q9" s="1" t="str">
        <f t="shared" si="3"/>
        <v>Premium</v>
      </c>
      <c r="R9" s="1">
        <f t="shared" si="4"/>
        <v>32</v>
      </c>
      <c r="T9" s="11" t="s">
        <v>158</v>
      </c>
      <c r="U9" s="10">
        <f>SUMIF(F:F,"Camion",P:P)</f>
        <v>36672.479999999996</v>
      </c>
    </row>
    <row r="10" spans="1:25" x14ac:dyDescent="0.25">
      <c r="A10" s="1">
        <v>9</v>
      </c>
      <c r="B10" s="3" t="s">
        <v>59</v>
      </c>
      <c r="C10" s="3" t="s">
        <v>60</v>
      </c>
      <c r="D10" s="3" t="s">
        <v>61</v>
      </c>
      <c r="E10" s="3" t="s">
        <v>40</v>
      </c>
      <c r="F10" s="3" t="s">
        <v>34</v>
      </c>
      <c r="G10" s="3" t="s">
        <v>35</v>
      </c>
      <c r="H10" s="1">
        <v>2019</v>
      </c>
      <c r="I10" s="1">
        <v>117000</v>
      </c>
      <c r="J10" s="1" t="s">
        <v>36</v>
      </c>
      <c r="K10" s="2">
        <v>45667</v>
      </c>
      <c r="L10" s="1">
        <v>12</v>
      </c>
      <c r="M10" s="1">
        <v>2040</v>
      </c>
      <c r="N10" s="1">
        <f t="shared" si="0"/>
        <v>0.03</v>
      </c>
      <c r="O10" s="1">
        <f t="shared" si="1"/>
        <v>60.57</v>
      </c>
      <c r="P10" s="1">
        <f t="shared" si="2"/>
        <v>2100.5700000000002</v>
      </c>
      <c r="Q10" s="1" t="str">
        <f t="shared" si="3"/>
        <v>Premium</v>
      </c>
      <c r="R10" s="1">
        <f t="shared" si="4"/>
        <v>33</v>
      </c>
    </row>
    <row r="11" spans="1:25" x14ac:dyDescent="0.25">
      <c r="A11" s="1">
        <v>10</v>
      </c>
      <c r="B11" s="3" t="s">
        <v>62</v>
      </c>
      <c r="C11" s="3" t="s">
        <v>63</v>
      </c>
      <c r="D11" s="3" t="s">
        <v>64</v>
      </c>
      <c r="E11" s="3" t="s">
        <v>50</v>
      </c>
      <c r="F11" s="3" t="s">
        <v>21</v>
      </c>
      <c r="G11" s="3" t="s">
        <v>41</v>
      </c>
      <c r="H11" s="1">
        <v>2020</v>
      </c>
      <c r="I11" s="1">
        <v>120000</v>
      </c>
      <c r="J11" s="1" t="s">
        <v>23</v>
      </c>
      <c r="K11" s="2">
        <v>45668</v>
      </c>
      <c r="L11" s="1">
        <v>12</v>
      </c>
      <c r="M11" s="1">
        <v>2100</v>
      </c>
      <c r="N11" s="1">
        <f t="shared" si="0"/>
        <v>0.05</v>
      </c>
      <c r="O11" s="1">
        <f t="shared" si="1"/>
        <v>101</v>
      </c>
      <c r="P11" s="1">
        <f t="shared" si="2"/>
        <v>2201</v>
      </c>
      <c r="Q11" s="1" t="str">
        <f t="shared" si="3"/>
        <v>Premium</v>
      </c>
      <c r="R11" s="1">
        <f t="shared" si="4"/>
        <v>31</v>
      </c>
    </row>
    <row r="12" spans="1:25" x14ac:dyDescent="0.25">
      <c r="A12" s="1">
        <v>11</v>
      </c>
      <c r="B12" s="3" t="s">
        <v>65</v>
      </c>
      <c r="C12" s="3" t="s">
        <v>66</v>
      </c>
      <c r="D12" s="3" t="s">
        <v>67</v>
      </c>
      <c r="E12" s="3" t="s">
        <v>45</v>
      </c>
      <c r="F12" s="3" t="s">
        <v>27</v>
      </c>
      <c r="G12" s="3" t="s">
        <v>46</v>
      </c>
      <c r="H12" s="1">
        <v>2021</v>
      </c>
      <c r="I12" s="1">
        <v>123000</v>
      </c>
      <c r="J12" s="1" t="s">
        <v>29</v>
      </c>
      <c r="K12" s="2">
        <v>45669</v>
      </c>
      <c r="L12" s="1">
        <v>12</v>
      </c>
      <c r="M12" s="1">
        <v>2160</v>
      </c>
      <c r="N12" s="1">
        <f t="shared" si="0"/>
        <v>0.06</v>
      </c>
      <c r="O12" s="1">
        <f t="shared" si="1"/>
        <v>121.25999999999999</v>
      </c>
      <c r="P12" s="1">
        <f t="shared" si="2"/>
        <v>2281.2600000000002</v>
      </c>
      <c r="Q12" s="1" t="str">
        <f t="shared" si="3"/>
        <v>Premium</v>
      </c>
      <c r="R12" s="1">
        <f t="shared" si="4"/>
        <v>29</v>
      </c>
      <c r="T12" s="11" t="s">
        <v>160</v>
      </c>
      <c r="U12" s="8">
        <v>1</v>
      </c>
    </row>
    <row r="13" spans="1:25" x14ac:dyDescent="0.25">
      <c r="A13" s="1">
        <v>12</v>
      </c>
      <c r="B13" s="3" t="s">
        <v>68</v>
      </c>
      <c r="C13" s="3" t="s">
        <v>69</v>
      </c>
      <c r="D13" s="3" t="s">
        <v>70</v>
      </c>
      <c r="E13" s="3" t="s">
        <v>33</v>
      </c>
      <c r="F13" s="3" t="s">
        <v>34</v>
      </c>
      <c r="G13" s="3" t="s">
        <v>51</v>
      </c>
      <c r="H13" s="1">
        <v>2022</v>
      </c>
      <c r="I13" s="1">
        <v>126000</v>
      </c>
      <c r="J13" s="1" t="s">
        <v>36</v>
      </c>
      <c r="K13" s="2">
        <v>45670</v>
      </c>
      <c r="L13" s="1">
        <v>12</v>
      </c>
      <c r="M13" s="1">
        <v>2220</v>
      </c>
      <c r="N13" s="1">
        <f t="shared" si="0"/>
        <v>0.03</v>
      </c>
      <c r="O13" s="1">
        <f t="shared" si="1"/>
        <v>60.66</v>
      </c>
      <c r="P13" s="1">
        <f t="shared" si="2"/>
        <v>2280.66</v>
      </c>
      <c r="Q13" s="1" t="str">
        <f t="shared" si="3"/>
        <v>Premium</v>
      </c>
      <c r="R13" s="1">
        <f t="shared" si="4"/>
        <v>30</v>
      </c>
      <c r="T13" s="9" t="s">
        <v>1</v>
      </c>
      <c r="U13" s="8" t="str">
        <f>INDEX(B:B,MATCH(U12,A:A,0))</f>
        <v>El Amrani</v>
      </c>
    </row>
    <row r="14" spans="1:25" x14ac:dyDescent="0.25">
      <c r="A14" s="1">
        <v>13</v>
      </c>
      <c r="B14" s="3" t="s">
        <v>71</v>
      </c>
      <c r="C14" s="3" t="s">
        <v>72</v>
      </c>
      <c r="D14" s="3" t="s">
        <v>73</v>
      </c>
      <c r="E14" s="3" t="s">
        <v>20</v>
      </c>
      <c r="F14" s="3" t="s">
        <v>21</v>
      </c>
      <c r="G14" s="3" t="s">
        <v>22</v>
      </c>
      <c r="H14" s="1">
        <v>2023</v>
      </c>
      <c r="I14" s="1">
        <v>129000</v>
      </c>
      <c r="J14" s="1" t="s">
        <v>23</v>
      </c>
      <c r="K14" s="2">
        <v>45671</v>
      </c>
      <c r="L14" s="1">
        <v>12</v>
      </c>
      <c r="M14" s="1">
        <v>2280</v>
      </c>
      <c r="N14" s="1">
        <f t="shared" si="0"/>
        <v>0.05</v>
      </c>
      <c r="O14" s="1">
        <f t="shared" si="1"/>
        <v>101.15</v>
      </c>
      <c r="P14" s="1">
        <f t="shared" si="2"/>
        <v>2381.15</v>
      </c>
      <c r="Q14" s="1" t="str">
        <f t="shared" si="3"/>
        <v>Premium</v>
      </c>
      <c r="R14" s="1">
        <f t="shared" si="4"/>
        <v>28</v>
      </c>
      <c r="T14" s="9" t="s">
        <v>15</v>
      </c>
      <c r="U14" s="8">
        <f>INDEX(P:P,MATCH(U12,A:A,0))</f>
        <v>1660.55</v>
      </c>
    </row>
    <row r="15" spans="1:25" x14ac:dyDescent="0.25">
      <c r="A15" s="1">
        <v>14</v>
      </c>
      <c r="B15" s="3" t="s">
        <v>74</v>
      </c>
      <c r="C15" s="3" t="s">
        <v>75</v>
      </c>
      <c r="D15" s="3" t="s">
        <v>76</v>
      </c>
      <c r="E15" s="3" t="s">
        <v>50</v>
      </c>
      <c r="F15" s="3" t="s">
        <v>27</v>
      </c>
      <c r="G15" s="3" t="s">
        <v>28</v>
      </c>
      <c r="H15" s="1">
        <v>2010</v>
      </c>
      <c r="I15" s="1">
        <v>132000</v>
      </c>
      <c r="J15" s="1" t="s">
        <v>29</v>
      </c>
      <c r="K15" s="2">
        <v>45672</v>
      </c>
      <c r="L15" s="1">
        <v>12</v>
      </c>
      <c r="M15" s="1">
        <v>2340</v>
      </c>
      <c r="N15" s="1">
        <f t="shared" si="0"/>
        <v>0.06</v>
      </c>
      <c r="O15" s="1">
        <f t="shared" si="1"/>
        <v>120.6</v>
      </c>
      <c r="P15" s="1">
        <f t="shared" si="2"/>
        <v>2460.6</v>
      </c>
      <c r="Q15" s="1" t="str">
        <f t="shared" si="3"/>
        <v>Premium</v>
      </c>
      <c r="R15" s="1">
        <f t="shared" si="4"/>
        <v>26</v>
      </c>
    </row>
    <row r="16" spans="1:25" x14ac:dyDescent="0.25">
      <c r="A16" s="1">
        <v>15</v>
      </c>
      <c r="B16" s="3" t="s">
        <v>77</v>
      </c>
      <c r="C16" s="3" t="s">
        <v>78</v>
      </c>
      <c r="D16" s="3" t="s">
        <v>79</v>
      </c>
      <c r="E16" s="3" t="s">
        <v>45</v>
      </c>
      <c r="F16" s="3" t="s">
        <v>34</v>
      </c>
      <c r="G16" s="3" t="s">
        <v>35</v>
      </c>
      <c r="H16" s="1">
        <v>2011</v>
      </c>
      <c r="I16" s="1">
        <v>135000</v>
      </c>
      <c r="J16" s="1" t="s">
        <v>36</v>
      </c>
      <c r="K16" s="2">
        <v>45673</v>
      </c>
      <c r="L16" s="1">
        <v>12</v>
      </c>
      <c r="M16" s="1">
        <v>2400</v>
      </c>
      <c r="N16" s="1">
        <f t="shared" si="0"/>
        <v>0.03</v>
      </c>
      <c r="O16" s="1">
        <f t="shared" si="1"/>
        <v>60.33</v>
      </c>
      <c r="P16" s="1">
        <f t="shared" si="2"/>
        <v>2460.33</v>
      </c>
      <c r="Q16" s="1" t="str">
        <f t="shared" si="3"/>
        <v>Premium</v>
      </c>
      <c r="R16" s="1">
        <f t="shared" si="4"/>
        <v>27</v>
      </c>
    </row>
    <row r="17" spans="1:18" x14ac:dyDescent="0.25">
      <c r="A17" s="1">
        <v>16</v>
      </c>
      <c r="B17" s="3" t="s">
        <v>80</v>
      </c>
      <c r="C17" s="3" t="s">
        <v>81</v>
      </c>
      <c r="D17" s="3" t="s">
        <v>82</v>
      </c>
      <c r="E17" s="3" t="s">
        <v>40</v>
      </c>
      <c r="F17" s="3" t="s">
        <v>21</v>
      </c>
      <c r="G17" s="3" t="s">
        <v>41</v>
      </c>
      <c r="H17" s="1">
        <v>2012</v>
      </c>
      <c r="I17" s="1">
        <v>138000</v>
      </c>
      <c r="J17" s="1" t="s">
        <v>23</v>
      </c>
      <c r="K17" s="2">
        <v>45674</v>
      </c>
      <c r="L17" s="1">
        <v>12</v>
      </c>
      <c r="M17" s="1">
        <v>2460</v>
      </c>
      <c r="N17" s="1">
        <f t="shared" si="0"/>
        <v>0.05</v>
      </c>
      <c r="O17" s="1">
        <f t="shared" si="1"/>
        <v>100.60000000000001</v>
      </c>
      <c r="P17" s="1">
        <f t="shared" si="2"/>
        <v>2560.6</v>
      </c>
      <c r="Q17" s="1" t="str">
        <f t="shared" si="3"/>
        <v>Premium</v>
      </c>
      <c r="R17" s="1">
        <f t="shared" si="4"/>
        <v>25</v>
      </c>
    </row>
    <row r="18" spans="1:18" x14ac:dyDescent="0.25">
      <c r="A18" s="1">
        <v>17</v>
      </c>
      <c r="B18" s="3" t="s">
        <v>83</v>
      </c>
      <c r="C18" s="3" t="s">
        <v>84</v>
      </c>
      <c r="D18" s="3" t="s">
        <v>85</v>
      </c>
      <c r="E18" s="3" t="s">
        <v>33</v>
      </c>
      <c r="F18" s="3" t="s">
        <v>27</v>
      </c>
      <c r="G18" s="3" t="s">
        <v>46</v>
      </c>
      <c r="H18" s="1">
        <v>2013</v>
      </c>
      <c r="I18" s="1">
        <v>141000</v>
      </c>
      <c r="J18" s="1" t="s">
        <v>29</v>
      </c>
      <c r="K18" s="2">
        <v>45675</v>
      </c>
      <c r="L18" s="1">
        <v>12</v>
      </c>
      <c r="M18" s="1">
        <v>2520</v>
      </c>
      <c r="N18" s="1">
        <f t="shared" si="0"/>
        <v>0.06</v>
      </c>
      <c r="O18" s="1">
        <f t="shared" si="1"/>
        <v>120.78</v>
      </c>
      <c r="P18" s="1">
        <f t="shared" si="2"/>
        <v>2640.78</v>
      </c>
      <c r="Q18" s="1" t="str">
        <f t="shared" si="3"/>
        <v>Premium</v>
      </c>
      <c r="R18" s="1">
        <f t="shared" si="4"/>
        <v>23</v>
      </c>
    </row>
    <row r="19" spans="1:18" x14ac:dyDescent="0.25">
      <c r="A19" s="1">
        <v>18</v>
      </c>
      <c r="B19" s="3" t="s">
        <v>86</v>
      </c>
      <c r="C19" s="3" t="s">
        <v>87</v>
      </c>
      <c r="D19" s="3" t="s">
        <v>88</v>
      </c>
      <c r="E19" s="3" t="s">
        <v>20</v>
      </c>
      <c r="F19" s="3" t="s">
        <v>34</v>
      </c>
      <c r="G19" s="3" t="s">
        <v>51</v>
      </c>
      <c r="H19" s="1">
        <v>2014</v>
      </c>
      <c r="I19" s="1">
        <v>144000</v>
      </c>
      <c r="J19" s="1" t="s">
        <v>36</v>
      </c>
      <c r="K19" s="2">
        <v>45676</v>
      </c>
      <c r="L19" s="1">
        <v>12</v>
      </c>
      <c r="M19" s="1">
        <v>2580</v>
      </c>
      <c r="N19" s="1">
        <f t="shared" si="0"/>
        <v>0.03</v>
      </c>
      <c r="O19" s="1">
        <f t="shared" si="1"/>
        <v>60.419999999999995</v>
      </c>
      <c r="P19" s="1">
        <f t="shared" si="2"/>
        <v>2640.42</v>
      </c>
      <c r="Q19" s="1" t="str">
        <f t="shared" si="3"/>
        <v>Premium</v>
      </c>
      <c r="R19" s="1">
        <f t="shared" si="4"/>
        <v>24</v>
      </c>
    </row>
    <row r="20" spans="1:18" x14ac:dyDescent="0.25">
      <c r="A20" s="1">
        <v>19</v>
      </c>
      <c r="B20" s="3" t="s">
        <v>89</v>
      </c>
      <c r="C20" s="3" t="s">
        <v>90</v>
      </c>
      <c r="D20" s="3" t="s">
        <v>91</v>
      </c>
      <c r="E20" s="3" t="s">
        <v>50</v>
      </c>
      <c r="F20" s="3" t="s">
        <v>21</v>
      </c>
      <c r="G20" s="3" t="s">
        <v>22</v>
      </c>
      <c r="H20" s="1">
        <v>2015</v>
      </c>
      <c r="I20" s="1">
        <v>147000</v>
      </c>
      <c r="J20" s="1" t="s">
        <v>23</v>
      </c>
      <c r="K20" s="2">
        <v>45677</v>
      </c>
      <c r="L20" s="1">
        <v>12</v>
      </c>
      <c r="M20" s="1">
        <v>2640</v>
      </c>
      <c r="N20" s="1">
        <f t="shared" si="0"/>
        <v>0.05</v>
      </c>
      <c r="O20" s="1">
        <f t="shared" si="1"/>
        <v>100.75</v>
      </c>
      <c r="P20" s="1">
        <f t="shared" si="2"/>
        <v>2740.75</v>
      </c>
      <c r="Q20" s="1" t="str">
        <f t="shared" si="3"/>
        <v>Premium</v>
      </c>
      <c r="R20" s="1">
        <f t="shared" si="4"/>
        <v>22</v>
      </c>
    </row>
    <row r="21" spans="1:18" x14ac:dyDescent="0.25">
      <c r="A21" s="1">
        <v>20</v>
      </c>
      <c r="B21" s="3" t="s">
        <v>92</v>
      </c>
      <c r="C21" s="3" t="s">
        <v>93</v>
      </c>
      <c r="D21" s="3" t="s">
        <v>94</v>
      </c>
      <c r="E21" s="3" t="s">
        <v>45</v>
      </c>
      <c r="F21" s="3" t="s">
        <v>27</v>
      </c>
      <c r="G21" s="3" t="s">
        <v>28</v>
      </c>
      <c r="H21" s="1">
        <v>2016</v>
      </c>
      <c r="I21" s="1">
        <v>150000</v>
      </c>
      <c r="J21" s="1" t="s">
        <v>29</v>
      </c>
      <c r="K21" s="2">
        <v>45678</v>
      </c>
      <c r="L21" s="1">
        <v>12</v>
      </c>
      <c r="M21" s="1">
        <v>2700</v>
      </c>
      <c r="N21" s="1">
        <f t="shared" si="0"/>
        <v>0.06</v>
      </c>
      <c r="O21" s="1">
        <f t="shared" si="1"/>
        <v>120.96</v>
      </c>
      <c r="P21" s="1">
        <f t="shared" si="2"/>
        <v>2820.96</v>
      </c>
      <c r="Q21" s="1" t="str">
        <f t="shared" si="3"/>
        <v>Premium</v>
      </c>
      <c r="R21" s="1">
        <f t="shared" si="4"/>
        <v>20</v>
      </c>
    </row>
    <row r="22" spans="1:18" x14ac:dyDescent="0.25">
      <c r="A22" s="1">
        <v>21</v>
      </c>
      <c r="B22" s="3" t="s">
        <v>95</v>
      </c>
      <c r="C22" s="3" t="s">
        <v>96</v>
      </c>
      <c r="D22" s="3" t="s">
        <v>97</v>
      </c>
      <c r="E22" s="3" t="s">
        <v>40</v>
      </c>
      <c r="F22" s="3" t="s">
        <v>34</v>
      </c>
      <c r="G22" s="3" t="s">
        <v>35</v>
      </c>
      <c r="H22" s="1">
        <v>2017</v>
      </c>
      <c r="I22" s="1">
        <v>153000</v>
      </c>
      <c r="J22" s="1" t="s">
        <v>36</v>
      </c>
      <c r="K22" s="2">
        <v>45679</v>
      </c>
      <c r="L22" s="1">
        <v>12</v>
      </c>
      <c r="M22" s="1">
        <v>2760</v>
      </c>
      <c r="N22" s="1">
        <f t="shared" si="0"/>
        <v>0.03</v>
      </c>
      <c r="O22" s="1">
        <f t="shared" si="1"/>
        <v>60.51</v>
      </c>
      <c r="P22" s="1">
        <f t="shared" si="2"/>
        <v>2820.51</v>
      </c>
      <c r="Q22" s="1" t="str">
        <f t="shared" si="3"/>
        <v>Premium</v>
      </c>
      <c r="R22" s="1">
        <f t="shared" si="4"/>
        <v>21</v>
      </c>
    </row>
    <row r="23" spans="1:18" x14ac:dyDescent="0.25">
      <c r="A23" s="1">
        <v>22</v>
      </c>
      <c r="B23" s="3" t="s">
        <v>98</v>
      </c>
      <c r="C23" s="3" t="s">
        <v>99</v>
      </c>
      <c r="D23" s="3" t="s">
        <v>100</v>
      </c>
      <c r="E23" s="3" t="s">
        <v>33</v>
      </c>
      <c r="F23" s="3" t="s">
        <v>21</v>
      </c>
      <c r="G23" s="3" t="s">
        <v>41</v>
      </c>
      <c r="H23" s="1">
        <v>2018</v>
      </c>
      <c r="I23" s="1">
        <v>156000</v>
      </c>
      <c r="J23" s="1" t="s">
        <v>23</v>
      </c>
      <c r="K23" s="2">
        <v>45680</v>
      </c>
      <c r="L23" s="1">
        <v>12</v>
      </c>
      <c r="M23" s="1">
        <v>2820</v>
      </c>
      <c r="N23" s="1">
        <f t="shared" si="0"/>
        <v>0.05</v>
      </c>
      <c r="O23" s="1">
        <f t="shared" si="1"/>
        <v>100.9</v>
      </c>
      <c r="P23" s="1">
        <f t="shared" si="2"/>
        <v>2920.9</v>
      </c>
      <c r="Q23" s="1" t="str">
        <f t="shared" si="3"/>
        <v>Premium</v>
      </c>
      <c r="R23" s="1">
        <f t="shared" si="4"/>
        <v>19</v>
      </c>
    </row>
    <row r="24" spans="1:18" x14ac:dyDescent="0.25">
      <c r="A24" s="1">
        <v>23</v>
      </c>
      <c r="B24" s="3" t="s">
        <v>101</v>
      </c>
      <c r="C24" s="3" t="s">
        <v>102</v>
      </c>
      <c r="D24" s="3" t="s">
        <v>103</v>
      </c>
      <c r="E24" s="3" t="s">
        <v>50</v>
      </c>
      <c r="F24" s="3" t="s">
        <v>27</v>
      </c>
      <c r="G24" s="3" t="s">
        <v>46</v>
      </c>
      <c r="H24" s="1">
        <v>2019</v>
      </c>
      <c r="I24" s="1">
        <v>159000</v>
      </c>
      <c r="J24" s="1" t="s">
        <v>29</v>
      </c>
      <c r="K24" s="2">
        <v>45681</v>
      </c>
      <c r="L24" s="1">
        <v>12</v>
      </c>
      <c r="M24" s="1">
        <v>2880</v>
      </c>
      <c r="N24" s="1">
        <f t="shared" si="0"/>
        <v>0.06</v>
      </c>
      <c r="O24" s="1">
        <f t="shared" si="1"/>
        <v>121.14</v>
      </c>
      <c r="P24" s="1">
        <f t="shared" si="2"/>
        <v>3001.14</v>
      </c>
      <c r="Q24" s="1" t="str">
        <f t="shared" si="3"/>
        <v>Premium</v>
      </c>
      <c r="R24" s="1">
        <f t="shared" si="4"/>
        <v>17</v>
      </c>
    </row>
    <row r="25" spans="1:18" x14ac:dyDescent="0.25">
      <c r="A25" s="1">
        <v>24</v>
      </c>
      <c r="B25" s="3" t="s">
        <v>104</v>
      </c>
      <c r="C25" s="3" t="s">
        <v>105</v>
      </c>
      <c r="D25" s="3" t="s">
        <v>106</v>
      </c>
      <c r="E25" s="3" t="s">
        <v>40</v>
      </c>
      <c r="F25" s="3" t="s">
        <v>34</v>
      </c>
      <c r="G25" s="3" t="s">
        <v>51</v>
      </c>
      <c r="H25" s="1">
        <v>2020</v>
      </c>
      <c r="I25" s="1">
        <v>162000</v>
      </c>
      <c r="J25" s="1" t="s">
        <v>36</v>
      </c>
      <c r="K25" s="2">
        <v>45682</v>
      </c>
      <c r="L25" s="1">
        <v>12</v>
      </c>
      <c r="M25" s="1">
        <v>2940</v>
      </c>
      <c r="N25" s="1">
        <f t="shared" si="0"/>
        <v>0.03</v>
      </c>
      <c r="O25" s="1">
        <f t="shared" si="1"/>
        <v>60.599999999999994</v>
      </c>
      <c r="P25" s="1">
        <f t="shared" si="2"/>
        <v>3000.6</v>
      </c>
      <c r="Q25" s="1" t="str">
        <f t="shared" si="3"/>
        <v>Premium</v>
      </c>
      <c r="R25" s="1">
        <f t="shared" si="4"/>
        <v>18</v>
      </c>
    </row>
    <row r="26" spans="1:18" x14ac:dyDescent="0.25">
      <c r="A26" s="1">
        <v>25</v>
      </c>
      <c r="B26" s="3" t="s">
        <v>107</v>
      </c>
      <c r="C26" s="3" t="s">
        <v>108</v>
      </c>
      <c r="D26" s="3" t="s">
        <v>109</v>
      </c>
      <c r="E26" s="3" t="s">
        <v>45</v>
      </c>
      <c r="F26" s="3" t="s">
        <v>21</v>
      </c>
      <c r="G26" s="3" t="s">
        <v>22</v>
      </c>
      <c r="H26" s="1">
        <v>2021</v>
      </c>
      <c r="I26" s="1">
        <v>165000</v>
      </c>
      <c r="J26" s="1" t="s">
        <v>23</v>
      </c>
      <c r="K26" s="2">
        <v>45683</v>
      </c>
      <c r="L26" s="1">
        <v>12</v>
      </c>
      <c r="M26" s="1">
        <v>3000</v>
      </c>
      <c r="N26" s="1">
        <f t="shared" si="0"/>
        <v>0.05</v>
      </c>
      <c r="O26" s="1">
        <f t="shared" si="1"/>
        <v>101.05000000000001</v>
      </c>
      <c r="P26" s="1">
        <f t="shared" si="2"/>
        <v>3101.05</v>
      </c>
      <c r="Q26" s="1" t="str">
        <f t="shared" si="3"/>
        <v>Premium</v>
      </c>
      <c r="R26" s="1">
        <f t="shared" si="4"/>
        <v>16</v>
      </c>
    </row>
    <row r="27" spans="1:18" x14ac:dyDescent="0.25">
      <c r="A27" s="1">
        <v>26</v>
      </c>
      <c r="B27" s="3" t="s">
        <v>110</v>
      </c>
      <c r="C27" s="3" t="s">
        <v>111</v>
      </c>
      <c r="D27" s="3" t="s">
        <v>112</v>
      </c>
      <c r="E27" s="3" t="s">
        <v>20</v>
      </c>
      <c r="F27" s="3" t="s">
        <v>27</v>
      </c>
      <c r="G27" s="3" t="s">
        <v>28</v>
      </c>
      <c r="H27" s="1">
        <v>2022</v>
      </c>
      <c r="I27" s="1">
        <v>168000</v>
      </c>
      <c r="J27" s="1" t="s">
        <v>29</v>
      </c>
      <c r="K27" s="2">
        <v>45684</v>
      </c>
      <c r="L27" s="1">
        <v>12</v>
      </c>
      <c r="M27" s="1">
        <v>3060</v>
      </c>
      <c r="N27" s="1">
        <f t="shared" si="0"/>
        <v>0.06</v>
      </c>
      <c r="O27" s="1">
        <f t="shared" si="1"/>
        <v>121.32</v>
      </c>
      <c r="P27" s="1">
        <f t="shared" si="2"/>
        <v>3181.32</v>
      </c>
      <c r="Q27" s="1" t="str">
        <f t="shared" si="3"/>
        <v>Premium</v>
      </c>
      <c r="R27" s="1">
        <f t="shared" si="4"/>
        <v>14</v>
      </c>
    </row>
    <row r="28" spans="1:18" x14ac:dyDescent="0.25">
      <c r="A28" s="1">
        <v>27</v>
      </c>
      <c r="B28" s="3" t="s">
        <v>113</v>
      </c>
      <c r="C28" s="3" t="s">
        <v>114</v>
      </c>
      <c r="D28" s="3" t="s">
        <v>115</v>
      </c>
      <c r="E28" s="3" t="s">
        <v>50</v>
      </c>
      <c r="F28" s="3" t="s">
        <v>34</v>
      </c>
      <c r="G28" s="3" t="s">
        <v>35</v>
      </c>
      <c r="H28" s="1">
        <v>2023</v>
      </c>
      <c r="I28" s="1">
        <v>171000</v>
      </c>
      <c r="J28" s="1" t="s">
        <v>36</v>
      </c>
      <c r="K28" s="2">
        <v>45685</v>
      </c>
      <c r="L28" s="1">
        <v>12</v>
      </c>
      <c r="M28" s="1">
        <v>3120</v>
      </c>
      <c r="N28" s="1">
        <f t="shared" si="0"/>
        <v>0.03</v>
      </c>
      <c r="O28" s="1">
        <f t="shared" si="1"/>
        <v>60.69</v>
      </c>
      <c r="P28" s="1">
        <f t="shared" si="2"/>
        <v>3180.69</v>
      </c>
      <c r="Q28" s="1" t="str">
        <f t="shared" si="3"/>
        <v>Premium</v>
      </c>
      <c r="R28" s="1">
        <f t="shared" si="4"/>
        <v>15</v>
      </c>
    </row>
    <row r="29" spans="1:18" x14ac:dyDescent="0.25">
      <c r="A29" s="1">
        <v>28</v>
      </c>
      <c r="B29" s="3" t="s">
        <v>116</v>
      </c>
      <c r="C29" s="3" t="s">
        <v>117</v>
      </c>
      <c r="D29" s="3" t="s">
        <v>118</v>
      </c>
      <c r="E29" s="3" t="s">
        <v>33</v>
      </c>
      <c r="F29" s="3" t="s">
        <v>21</v>
      </c>
      <c r="G29" s="3" t="s">
        <v>41</v>
      </c>
      <c r="H29" s="1">
        <v>2010</v>
      </c>
      <c r="I29" s="1">
        <v>174000</v>
      </c>
      <c r="J29" s="1" t="s">
        <v>23</v>
      </c>
      <c r="K29" s="2">
        <v>45658</v>
      </c>
      <c r="L29" s="1">
        <v>12</v>
      </c>
      <c r="M29" s="1">
        <v>3180</v>
      </c>
      <c r="N29" s="1">
        <f t="shared" si="0"/>
        <v>0.05</v>
      </c>
      <c r="O29" s="1">
        <f t="shared" si="1"/>
        <v>100.5</v>
      </c>
      <c r="P29" s="1">
        <f t="shared" si="2"/>
        <v>3280.5</v>
      </c>
      <c r="Q29" s="1" t="str">
        <f t="shared" si="3"/>
        <v>Premium</v>
      </c>
      <c r="R29" s="1">
        <f t="shared" si="4"/>
        <v>13</v>
      </c>
    </row>
    <row r="30" spans="1:18" x14ac:dyDescent="0.25">
      <c r="A30" s="1">
        <v>29</v>
      </c>
      <c r="B30" s="3" t="s">
        <v>119</v>
      </c>
      <c r="C30" s="3" t="s">
        <v>120</v>
      </c>
      <c r="D30" s="3" t="s">
        <v>121</v>
      </c>
      <c r="E30" s="3" t="s">
        <v>40</v>
      </c>
      <c r="F30" s="3" t="s">
        <v>27</v>
      </c>
      <c r="G30" s="3" t="s">
        <v>46</v>
      </c>
      <c r="H30" s="1">
        <v>2011</v>
      </c>
      <c r="I30" s="1">
        <v>177000</v>
      </c>
      <c r="J30" s="1" t="s">
        <v>29</v>
      </c>
      <c r="K30" s="2">
        <v>45659</v>
      </c>
      <c r="L30" s="1">
        <v>12</v>
      </c>
      <c r="M30" s="1">
        <v>3240</v>
      </c>
      <c r="N30" s="1">
        <f t="shared" si="0"/>
        <v>0.06</v>
      </c>
      <c r="O30" s="1">
        <f t="shared" si="1"/>
        <v>120.66</v>
      </c>
      <c r="P30" s="1">
        <f t="shared" si="2"/>
        <v>3360.66</v>
      </c>
      <c r="Q30" s="1" t="str">
        <f t="shared" si="3"/>
        <v>Premium</v>
      </c>
      <c r="R30" s="1">
        <f t="shared" si="4"/>
        <v>11</v>
      </c>
    </row>
    <row r="31" spans="1:18" x14ac:dyDescent="0.25">
      <c r="A31" s="1">
        <v>30</v>
      </c>
      <c r="B31" s="3" t="s">
        <v>122</v>
      </c>
      <c r="C31" s="3" t="s">
        <v>123</v>
      </c>
      <c r="D31" s="3" t="s">
        <v>124</v>
      </c>
      <c r="E31" s="3" t="s">
        <v>45</v>
      </c>
      <c r="F31" s="3" t="s">
        <v>34</v>
      </c>
      <c r="G31" s="3" t="s">
        <v>51</v>
      </c>
      <c r="H31" s="1">
        <v>2012</v>
      </c>
      <c r="I31" s="1">
        <v>180000</v>
      </c>
      <c r="J31" s="1" t="s">
        <v>36</v>
      </c>
      <c r="K31" s="2">
        <v>45660</v>
      </c>
      <c r="L31" s="1">
        <v>12</v>
      </c>
      <c r="M31" s="1">
        <v>3300</v>
      </c>
      <c r="N31" s="1">
        <f t="shared" si="0"/>
        <v>0.03</v>
      </c>
      <c r="O31" s="1">
        <f t="shared" si="1"/>
        <v>60.36</v>
      </c>
      <c r="P31" s="1">
        <f t="shared" si="2"/>
        <v>3360.36</v>
      </c>
      <c r="Q31" s="1" t="str">
        <f t="shared" si="3"/>
        <v>Premium</v>
      </c>
      <c r="R31" s="1">
        <f t="shared" si="4"/>
        <v>12</v>
      </c>
    </row>
    <row r="32" spans="1:18" x14ac:dyDescent="0.25">
      <c r="A32" s="1">
        <v>31</v>
      </c>
      <c r="B32" s="3" t="s">
        <v>125</v>
      </c>
      <c r="C32" s="3" t="s">
        <v>126</v>
      </c>
      <c r="D32" s="3" t="s">
        <v>127</v>
      </c>
      <c r="E32" s="3" t="s">
        <v>50</v>
      </c>
      <c r="F32" s="3" t="s">
        <v>21</v>
      </c>
      <c r="G32" s="3" t="s">
        <v>22</v>
      </c>
      <c r="H32" s="1">
        <v>2013</v>
      </c>
      <c r="I32" s="1">
        <v>183000</v>
      </c>
      <c r="J32" s="1" t="s">
        <v>23</v>
      </c>
      <c r="K32" s="2">
        <v>45661</v>
      </c>
      <c r="L32" s="1">
        <v>12</v>
      </c>
      <c r="M32" s="1">
        <v>3360</v>
      </c>
      <c r="N32" s="1">
        <f t="shared" si="0"/>
        <v>0.05</v>
      </c>
      <c r="O32" s="1">
        <f t="shared" si="1"/>
        <v>100.65</v>
      </c>
      <c r="P32" s="1">
        <f t="shared" si="2"/>
        <v>3460.65</v>
      </c>
      <c r="Q32" s="1" t="str">
        <f t="shared" si="3"/>
        <v>Premium</v>
      </c>
      <c r="R32" s="1">
        <f t="shared" si="4"/>
        <v>10</v>
      </c>
    </row>
    <row r="33" spans="1:18" x14ac:dyDescent="0.25">
      <c r="A33" s="1">
        <v>32</v>
      </c>
      <c r="B33" s="3" t="s">
        <v>128</v>
      </c>
      <c r="C33" s="3" t="s">
        <v>129</v>
      </c>
      <c r="D33" s="3" t="s">
        <v>130</v>
      </c>
      <c r="E33" s="3" t="s">
        <v>33</v>
      </c>
      <c r="F33" s="3" t="s">
        <v>27</v>
      </c>
      <c r="G33" s="3" t="s">
        <v>28</v>
      </c>
      <c r="H33" s="1">
        <v>2014</v>
      </c>
      <c r="I33" s="1">
        <v>186000</v>
      </c>
      <c r="J33" s="1" t="s">
        <v>29</v>
      </c>
      <c r="K33" s="2">
        <v>45662</v>
      </c>
      <c r="L33" s="1">
        <v>12</v>
      </c>
      <c r="M33" s="1">
        <v>3420</v>
      </c>
      <c r="N33" s="1">
        <f t="shared" si="0"/>
        <v>0.06</v>
      </c>
      <c r="O33" s="1">
        <f t="shared" si="1"/>
        <v>120.83999999999999</v>
      </c>
      <c r="P33" s="1">
        <f t="shared" si="2"/>
        <v>3540.84</v>
      </c>
      <c r="Q33" s="1" t="str">
        <f t="shared" si="3"/>
        <v>Premium</v>
      </c>
      <c r="R33" s="1">
        <f t="shared" si="4"/>
        <v>8</v>
      </c>
    </row>
    <row r="34" spans="1:18" x14ac:dyDescent="0.25">
      <c r="A34" s="1">
        <v>33</v>
      </c>
      <c r="B34" s="3" t="s">
        <v>131</v>
      </c>
      <c r="C34" s="3" t="s">
        <v>132</v>
      </c>
      <c r="D34" s="3" t="s">
        <v>133</v>
      </c>
      <c r="E34" s="3" t="s">
        <v>40</v>
      </c>
      <c r="F34" s="3" t="s">
        <v>34</v>
      </c>
      <c r="G34" s="3" t="s">
        <v>35</v>
      </c>
      <c r="H34" s="1">
        <v>2015</v>
      </c>
      <c r="I34" s="1">
        <v>189000</v>
      </c>
      <c r="J34" s="1" t="s">
        <v>36</v>
      </c>
      <c r="K34" s="2">
        <v>45663</v>
      </c>
      <c r="L34" s="1">
        <v>12</v>
      </c>
      <c r="M34" s="1">
        <v>3480</v>
      </c>
      <c r="N34" s="1">
        <f t="shared" si="0"/>
        <v>0.03</v>
      </c>
      <c r="O34" s="1">
        <f t="shared" si="1"/>
        <v>60.449999999999996</v>
      </c>
      <c r="P34" s="1">
        <f t="shared" si="2"/>
        <v>3540.45</v>
      </c>
      <c r="Q34" s="1" t="str">
        <f t="shared" si="3"/>
        <v>Premium</v>
      </c>
      <c r="R34" s="1">
        <f t="shared" si="4"/>
        <v>9</v>
      </c>
    </row>
    <row r="35" spans="1:18" x14ac:dyDescent="0.25">
      <c r="A35" s="1">
        <v>34</v>
      </c>
      <c r="B35" s="3" t="s">
        <v>134</v>
      </c>
      <c r="C35" s="3" t="s">
        <v>135</v>
      </c>
      <c r="D35" s="3" t="s">
        <v>136</v>
      </c>
      <c r="E35" s="3" t="s">
        <v>45</v>
      </c>
      <c r="F35" s="3" t="s">
        <v>21</v>
      </c>
      <c r="G35" s="3" t="s">
        <v>41</v>
      </c>
      <c r="H35" s="1">
        <v>2016</v>
      </c>
      <c r="I35" s="1">
        <v>192000</v>
      </c>
      <c r="J35" s="1" t="s">
        <v>23</v>
      </c>
      <c r="K35" s="2">
        <v>45664</v>
      </c>
      <c r="L35" s="1">
        <v>12</v>
      </c>
      <c r="M35" s="1">
        <v>3540</v>
      </c>
      <c r="N35" s="1">
        <f t="shared" si="0"/>
        <v>0.05</v>
      </c>
      <c r="O35" s="1">
        <f t="shared" si="1"/>
        <v>100.80000000000001</v>
      </c>
      <c r="P35" s="1">
        <f t="shared" si="2"/>
        <v>3640.8</v>
      </c>
      <c r="Q35" s="1" t="str">
        <f t="shared" si="3"/>
        <v>Premium</v>
      </c>
      <c r="R35" s="1">
        <f t="shared" si="4"/>
        <v>7</v>
      </c>
    </row>
    <row r="36" spans="1:18" x14ac:dyDescent="0.25">
      <c r="A36" s="1">
        <v>35</v>
      </c>
      <c r="B36" s="3" t="s">
        <v>137</v>
      </c>
      <c r="C36" s="3" t="s">
        <v>138</v>
      </c>
      <c r="D36" s="3" t="s">
        <v>139</v>
      </c>
      <c r="E36" s="3" t="s">
        <v>20</v>
      </c>
      <c r="F36" s="3" t="s">
        <v>27</v>
      </c>
      <c r="G36" s="3" t="s">
        <v>46</v>
      </c>
      <c r="H36" s="1">
        <v>2017</v>
      </c>
      <c r="I36" s="1">
        <v>195000</v>
      </c>
      <c r="J36" s="1" t="s">
        <v>29</v>
      </c>
      <c r="K36" s="2">
        <v>45665</v>
      </c>
      <c r="L36" s="1">
        <v>12</v>
      </c>
      <c r="M36" s="1">
        <v>3600</v>
      </c>
      <c r="N36" s="1">
        <f t="shared" si="0"/>
        <v>0.06</v>
      </c>
      <c r="O36" s="1">
        <f t="shared" si="1"/>
        <v>121.02</v>
      </c>
      <c r="P36" s="1">
        <f t="shared" si="2"/>
        <v>3721.02</v>
      </c>
      <c r="Q36" s="1" t="str">
        <f t="shared" si="3"/>
        <v>Premium</v>
      </c>
      <c r="R36" s="1">
        <f t="shared" si="4"/>
        <v>5</v>
      </c>
    </row>
    <row r="37" spans="1:18" x14ac:dyDescent="0.25">
      <c r="A37" s="1">
        <v>36</v>
      </c>
      <c r="B37" s="3" t="s">
        <v>140</v>
      </c>
      <c r="C37" s="3" t="s">
        <v>141</v>
      </c>
      <c r="D37" s="3" t="s">
        <v>142</v>
      </c>
      <c r="E37" s="3" t="s">
        <v>50</v>
      </c>
      <c r="F37" s="3" t="s">
        <v>34</v>
      </c>
      <c r="G37" s="3" t="s">
        <v>51</v>
      </c>
      <c r="H37" s="1">
        <v>2018</v>
      </c>
      <c r="I37" s="1">
        <v>198000</v>
      </c>
      <c r="J37" s="1" t="s">
        <v>36</v>
      </c>
      <c r="K37" s="2">
        <v>45666</v>
      </c>
      <c r="L37" s="1">
        <v>12</v>
      </c>
      <c r="M37" s="1">
        <v>3660</v>
      </c>
      <c r="N37" s="1">
        <f t="shared" si="0"/>
        <v>0.03</v>
      </c>
      <c r="O37" s="1">
        <f t="shared" si="1"/>
        <v>60.54</v>
      </c>
      <c r="P37" s="1">
        <f t="shared" si="2"/>
        <v>3720.54</v>
      </c>
      <c r="Q37" s="1" t="str">
        <f t="shared" si="3"/>
        <v>Premium</v>
      </c>
      <c r="R37" s="1">
        <f t="shared" si="4"/>
        <v>6</v>
      </c>
    </row>
    <row r="38" spans="1:18" x14ac:dyDescent="0.25">
      <c r="A38" s="1">
        <v>37</v>
      </c>
      <c r="B38" s="3" t="s">
        <v>143</v>
      </c>
      <c r="C38" s="3" t="s">
        <v>144</v>
      </c>
      <c r="D38" s="3" t="s">
        <v>145</v>
      </c>
      <c r="E38" s="3" t="s">
        <v>33</v>
      </c>
      <c r="F38" s="3" t="s">
        <v>21</v>
      </c>
      <c r="G38" s="3" t="s">
        <v>22</v>
      </c>
      <c r="H38" s="1">
        <v>2019</v>
      </c>
      <c r="I38" s="1">
        <v>201000</v>
      </c>
      <c r="J38" s="1" t="s">
        <v>23</v>
      </c>
      <c r="K38" s="2">
        <v>45667</v>
      </c>
      <c r="L38" s="1">
        <v>12</v>
      </c>
      <c r="M38" s="1">
        <v>3720</v>
      </c>
      <c r="N38" s="1">
        <f t="shared" si="0"/>
        <v>0.05</v>
      </c>
      <c r="O38" s="1">
        <f t="shared" si="1"/>
        <v>100.95</v>
      </c>
      <c r="P38" s="1">
        <f t="shared" si="2"/>
        <v>3820.95</v>
      </c>
      <c r="Q38" s="1" t="str">
        <f t="shared" si="3"/>
        <v>Premium</v>
      </c>
      <c r="R38" s="1">
        <f t="shared" si="4"/>
        <v>4</v>
      </c>
    </row>
    <row r="39" spans="1:18" x14ac:dyDescent="0.25">
      <c r="A39" s="1">
        <v>38</v>
      </c>
      <c r="B39" s="3" t="s">
        <v>146</v>
      </c>
      <c r="C39" s="3" t="s">
        <v>147</v>
      </c>
      <c r="D39" s="3" t="s">
        <v>148</v>
      </c>
      <c r="E39" s="3" t="s">
        <v>40</v>
      </c>
      <c r="F39" s="3" t="s">
        <v>27</v>
      </c>
      <c r="G39" s="3" t="s">
        <v>28</v>
      </c>
      <c r="H39" s="1">
        <v>2020</v>
      </c>
      <c r="I39" s="1">
        <v>204000</v>
      </c>
      <c r="J39" s="1" t="s">
        <v>29</v>
      </c>
      <c r="K39" s="2">
        <v>45668</v>
      </c>
      <c r="L39" s="1">
        <v>12</v>
      </c>
      <c r="M39" s="1">
        <v>3780</v>
      </c>
      <c r="N39" s="1">
        <f t="shared" si="0"/>
        <v>0.06</v>
      </c>
      <c r="O39" s="1">
        <f t="shared" si="1"/>
        <v>121.19999999999999</v>
      </c>
      <c r="P39" s="1">
        <f t="shared" si="2"/>
        <v>3901.2</v>
      </c>
      <c r="Q39" s="1" t="str">
        <f t="shared" si="3"/>
        <v>Premium</v>
      </c>
      <c r="R39" s="1">
        <f t="shared" si="4"/>
        <v>2</v>
      </c>
    </row>
    <row r="40" spans="1:18" x14ac:dyDescent="0.25">
      <c r="A40" s="1">
        <v>39</v>
      </c>
      <c r="B40" s="3" t="s">
        <v>149</v>
      </c>
      <c r="C40" s="3" t="s">
        <v>150</v>
      </c>
      <c r="D40" s="3" t="s">
        <v>151</v>
      </c>
      <c r="E40" s="3" t="s">
        <v>45</v>
      </c>
      <c r="F40" s="3" t="s">
        <v>34</v>
      </c>
      <c r="G40" s="3" t="s">
        <v>35</v>
      </c>
      <c r="H40" s="1">
        <v>2021</v>
      </c>
      <c r="I40" s="1">
        <v>207000</v>
      </c>
      <c r="J40" s="1" t="s">
        <v>36</v>
      </c>
      <c r="K40" s="2">
        <v>45669</v>
      </c>
      <c r="L40" s="1">
        <v>12</v>
      </c>
      <c r="M40" s="1">
        <v>3840</v>
      </c>
      <c r="N40" s="1">
        <f t="shared" si="0"/>
        <v>0.03</v>
      </c>
      <c r="O40" s="1">
        <f t="shared" si="1"/>
        <v>60.629999999999995</v>
      </c>
      <c r="P40" s="1">
        <f t="shared" si="2"/>
        <v>3900.63</v>
      </c>
      <c r="Q40" s="1" t="str">
        <f t="shared" si="3"/>
        <v>Premium</v>
      </c>
      <c r="R40" s="1">
        <f t="shared" si="4"/>
        <v>3</v>
      </c>
    </row>
    <row r="41" spans="1:18" x14ac:dyDescent="0.25">
      <c r="A41" s="1">
        <v>40</v>
      </c>
      <c r="B41" s="3" t="s">
        <v>152</v>
      </c>
      <c r="C41" s="3" t="s">
        <v>153</v>
      </c>
      <c r="D41" s="3" t="s">
        <v>154</v>
      </c>
      <c r="E41" s="3" t="s">
        <v>20</v>
      </c>
      <c r="F41" s="3" t="s">
        <v>21</v>
      </c>
      <c r="G41" s="3" t="s">
        <v>41</v>
      </c>
      <c r="H41" s="1">
        <v>2022</v>
      </c>
      <c r="I41" s="1">
        <v>210000</v>
      </c>
      <c r="J41" s="1" t="s">
        <v>23</v>
      </c>
      <c r="K41" s="2">
        <v>45670</v>
      </c>
      <c r="L41" s="1">
        <v>12</v>
      </c>
      <c r="M41" s="1">
        <v>3900</v>
      </c>
      <c r="N41" s="1">
        <f t="shared" si="0"/>
        <v>0.05</v>
      </c>
      <c r="O41" s="1">
        <f t="shared" si="1"/>
        <v>101.10000000000001</v>
      </c>
      <c r="P41" s="1">
        <f t="shared" si="2"/>
        <v>4001.1</v>
      </c>
      <c r="Q41" s="1" t="str">
        <f t="shared" si="3"/>
        <v>Premium</v>
      </c>
      <c r="R41" s="1">
        <f t="shared" si="4"/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</vt:lpstr>
      <vt:lpstr>Frontand</vt:lpstr>
      <vt:lpstr>Assurances_Auto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 kisra</cp:lastModifiedBy>
  <dcterms:created xsi:type="dcterms:W3CDTF">2025-12-28T12:53:27Z</dcterms:created>
  <dcterms:modified xsi:type="dcterms:W3CDTF">2025-12-30T10:32:36Z</dcterms:modified>
</cp:coreProperties>
</file>